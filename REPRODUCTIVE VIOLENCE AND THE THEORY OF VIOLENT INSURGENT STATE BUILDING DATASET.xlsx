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afe62f387fee9b1e/Документы/"/>
    </mc:Choice>
  </mc:AlternateContent>
  <xr:revisionPtr revIDLastSave="1" documentId="11_A2C94C4AFC17EDDD0B9EDA042F57F268FEC191E1" xr6:coauthVersionLast="47" xr6:coauthVersionMax="47" xr10:uidLastSave="{C5A0FFEC-D115-46D3-8212-A83CD906F62B}"/>
  <bookViews>
    <workbookView xWindow="-110" yWindow="-110" windowWidth="19420" windowHeight="10300" xr2:uid="{00000000-000D-0000-FFFF-FFFF00000000}"/>
  </bookViews>
  <sheets>
    <sheet name="Sheet1" sheetId="1" r:id="rId1"/>
  </sheets>
  <definedNames>
    <definedName name="_xlnm._FilterDatabase" localSheetId="0" hidden="1">Sheet1!$Q$1:$Q$198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196" i="1" l="1"/>
  <c r="N196" i="1"/>
  <c r="O195" i="1"/>
  <c r="N195" i="1"/>
  <c r="O194" i="1"/>
  <c r="N194" i="1"/>
  <c r="O193" i="1"/>
  <c r="N193" i="1"/>
  <c r="O192" i="1"/>
  <c r="N192" i="1"/>
  <c r="O191" i="1"/>
  <c r="N191" i="1"/>
  <c r="O190" i="1"/>
  <c r="N190" i="1"/>
  <c r="O189" i="1"/>
  <c r="N189" i="1"/>
  <c r="O188" i="1"/>
  <c r="N188" i="1"/>
  <c r="O187" i="1"/>
  <c r="N187" i="1"/>
  <c r="O186" i="1"/>
  <c r="N186" i="1"/>
  <c r="O185" i="1"/>
  <c r="N185" i="1"/>
  <c r="O184" i="1"/>
  <c r="N184" i="1"/>
  <c r="O183" i="1"/>
  <c r="N183" i="1"/>
  <c r="O182" i="1"/>
  <c r="N182" i="1"/>
  <c r="O181" i="1"/>
  <c r="N181" i="1"/>
  <c r="O180" i="1"/>
  <c r="N180" i="1"/>
  <c r="O179" i="1"/>
  <c r="N179" i="1"/>
  <c r="O178" i="1"/>
  <c r="N178" i="1"/>
  <c r="O177" i="1"/>
  <c r="N177" i="1"/>
  <c r="O176" i="1"/>
  <c r="N176" i="1"/>
  <c r="O175" i="1"/>
  <c r="N175" i="1"/>
  <c r="O174" i="1"/>
  <c r="N174" i="1"/>
  <c r="O173" i="1"/>
  <c r="N173" i="1"/>
  <c r="O172" i="1"/>
  <c r="N172" i="1"/>
  <c r="O171" i="1"/>
  <c r="N171" i="1"/>
  <c r="O170" i="1"/>
  <c r="N170" i="1"/>
  <c r="O169" i="1"/>
  <c r="N169" i="1"/>
  <c r="O168" i="1"/>
  <c r="N168" i="1"/>
  <c r="O167" i="1"/>
  <c r="N167" i="1"/>
  <c r="O166" i="1"/>
  <c r="N166" i="1"/>
  <c r="O165" i="1"/>
  <c r="N165" i="1"/>
  <c r="O164" i="1"/>
  <c r="N164" i="1"/>
  <c r="O163" i="1"/>
  <c r="N163" i="1"/>
  <c r="O162" i="1"/>
  <c r="N162" i="1"/>
  <c r="O161" i="1"/>
  <c r="N161" i="1"/>
  <c r="O160" i="1"/>
  <c r="N160" i="1"/>
  <c r="O159" i="1"/>
  <c r="N159" i="1"/>
  <c r="O158" i="1"/>
  <c r="N158" i="1"/>
  <c r="O157" i="1"/>
  <c r="N157" i="1"/>
  <c r="O156" i="1"/>
  <c r="N156" i="1"/>
  <c r="O155" i="1"/>
  <c r="N155" i="1"/>
  <c r="O154" i="1"/>
  <c r="N154" i="1"/>
  <c r="O153" i="1"/>
  <c r="N153" i="1"/>
  <c r="O152" i="1"/>
  <c r="N152" i="1"/>
  <c r="O151" i="1"/>
  <c r="N151" i="1"/>
  <c r="O150" i="1"/>
  <c r="N150" i="1"/>
  <c r="O149" i="1"/>
  <c r="N149" i="1"/>
  <c r="O148" i="1"/>
  <c r="N148" i="1"/>
  <c r="O147" i="1"/>
  <c r="N147" i="1"/>
  <c r="O146" i="1"/>
  <c r="N146" i="1"/>
  <c r="O145" i="1"/>
  <c r="N145" i="1"/>
  <c r="O144" i="1"/>
  <c r="N144" i="1"/>
  <c r="O143" i="1"/>
  <c r="N143" i="1"/>
  <c r="O142" i="1"/>
  <c r="N142" i="1"/>
  <c r="O141" i="1"/>
  <c r="N141" i="1"/>
  <c r="O140" i="1"/>
  <c r="N140" i="1"/>
  <c r="O139" i="1"/>
  <c r="N139" i="1"/>
  <c r="O138" i="1"/>
  <c r="N138" i="1"/>
  <c r="O137" i="1"/>
  <c r="N137" i="1"/>
  <c r="O136" i="1"/>
  <c r="N136" i="1"/>
  <c r="O135" i="1"/>
  <c r="N135" i="1"/>
  <c r="O134" i="1"/>
  <c r="N134" i="1"/>
  <c r="O133" i="1"/>
  <c r="N133" i="1"/>
  <c r="O132" i="1"/>
  <c r="N132" i="1"/>
  <c r="O131" i="1"/>
  <c r="N131" i="1"/>
  <c r="O130" i="1"/>
  <c r="N130" i="1"/>
  <c r="O129" i="1"/>
  <c r="N129" i="1"/>
  <c r="O128" i="1"/>
  <c r="N128" i="1"/>
  <c r="O127" i="1"/>
  <c r="N127" i="1"/>
  <c r="O126" i="1"/>
  <c r="N126" i="1"/>
  <c r="O125" i="1"/>
  <c r="N125" i="1"/>
  <c r="O124" i="1"/>
  <c r="N124" i="1"/>
  <c r="O123" i="1"/>
  <c r="N123" i="1"/>
  <c r="O122" i="1"/>
  <c r="N122" i="1"/>
  <c r="O121" i="1"/>
  <c r="N121" i="1"/>
  <c r="O120" i="1"/>
  <c r="N120" i="1"/>
  <c r="O119" i="1"/>
  <c r="N119" i="1"/>
  <c r="O118" i="1"/>
  <c r="N118" i="1"/>
  <c r="O117" i="1"/>
  <c r="N117" i="1"/>
  <c r="O116" i="1"/>
  <c r="N116" i="1"/>
  <c r="O115" i="1"/>
  <c r="N115" i="1"/>
  <c r="O114" i="1"/>
  <c r="N114" i="1"/>
  <c r="O113" i="1"/>
  <c r="N113" i="1"/>
  <c r="O112" i="1"/>
  <c r="N112" i="1"/>
  <c r="O111" i="1"/>
  <c r="N111" i="1"/>
  <c r="O110" i="1"/>
  <c r="N110" i="1"/>
  <c r="O109" i="1"/>
  <c r="N109" i="1"/>
  <c r="O108" i="1"/>
  <c r="N108" i="1"/>
  <c r="O107" i="1"/>
  <c r="N107" i="1"/>
  <c r="O106" i="1"/>
  <c r="N106" i="1"/>
  <c r="O105" i="1"/>
  <c r="N105" i="1"/>
  <c r="O104" i="1"/>
  <c r="N104" i="1"/>
  <c r="O103" i="1"/>
  <c r="N103" i="1"/>
  <c r="O102" i="1"/>
  <c r="N102" i="1"/>
  <c r="O101" i="1"/>
  <c r="N101" i="1"/>
  <c r="O100" i="1"/>
  <c r="N100" i="1"/>
  <c r="O99" i="1"/>
  <c r="N99" i="1"/>
  <c r="O98" i="1"/>
  <c r="N98" i="1"/>
  <c r="O97" i="1"/>
  <c r="N97" i="1"/>
  <c r="O96" i="1"/>
  <c r="N96" i="1"/>
  <c r="O95" i="1"/>
  <c r="N95" i="1"/>
  <c r="O94" i="1"/>
  <c r="N94" i="1"/>
  <c r="O93" i="1"/>
  <c r="N93" i="1"/>
  <c r="O92" i="1"/>
  <c r="N92" i="1"/>
  <c r="O91" i="1"/>
  <c r="N91" i="1"/>
  <c r="O90" i="1"/>
  <c r="N90" i="1"/>
  <c r="O89" i="1"/>
  <c r="N89" i="1"/>
  <c r="O88" i="1"/>
  <c r="N88" i="1"/>
  <c r="O87" i="1"/>
  <c r="N87" i="1"/>
  <c r="O86" i="1"/>
  <c r="N86" i="1"/>
  <c r="O85" i="1"/>
  <c r="N85" i="1"/>
  <c r="O84" i="1"/>
  <c r="N84" i="1"/>
  <c r="O83" i="1"/>
  <c r="N83" i="1"/>
  <c r="O82" i="1"/>
  <c r="N82" i="1"/>
  <c r="O81" i="1"/>
  <c r="N81" i="1"/>
  <c r="O80" i="1"/>
  <c r="N80" i="1"/>
  <c r="O79" i="1"/>
  <c r="N79" i="1"/>
  <c r="O78" i="1"/>
  <c r="N78" i="1"/>
  <c r="O77" i="1"/>
  <c r="N77" i="1"/>
  <c r="O76" i="1"/>
  <c r="N76" i="1"/>
  <c r="O75" i="1"/>
  <c r="N75" i="1"/>
  <c r="O74" i="1"/>
  <c r="N74" i="1"/>
  <c r="O73" i="1"/>
  <c r="N73" i="1"/>
  <c r="O72" i="1"/>
  <c r="N72" i="1"/>
  <c r="O71" i="1"/>
  <c r="N71" i="1"/>
  <c r="O70" i="1"/>
  <c r="N70" i="1"/>
  <c r="O69" i="1"/>
  <c r="N69" i="1"/>
  <c r="O68" i="1"/>
  <c r="N68" i="1"/>
  <c r="O67" i="1"/>
  <c r="N67" i="1"/>
  <c r="O66" i="1"/>
  <c r="N66" i="1"/>
  <c r="O65" i="1"/>
  <c r="N65" i="1"/>
  <c r="O64" i="1"/>
  <c r="N64" i="1"/>
  <c r="O63" i="1"/>
  <c r="N63" i="1"/>
  <c r="O62" i="1"/>
  <c r="N62" i="1"/>
  <c r="O61" i="1"/>
  <c r="N61" i="1"/>
  <c r="O60" i="1"/>
  <c r="N60" i="1"/>
  <c r="O59" i="1"/>
  <c r="N59" i="1"/>
  <c r="O58" i="1"/>
  <c r="N58" i="1"/>
  <c r="O57" i="1"/>
  <c r="N57" i="1"/>
  <c r="O56" i="1"/>
  <c r="N56" i="1"/>
  <c r="O55" i="1"/>
  <c r="N55" i="1"/>
  <c r="O54" i="1"/>
  <c r="N54" i="1"/>
  <c r="O53" i="1"/>
  <c r="N53" i="1"/>
  <c r="O52" i="1"/>
  <c r="N52" i="1"/>
  <c r="O51" i="1"/>
  <c r="N51" i="1"/>
  <c r="O50" i="1"/>
  <c r="N50" i="1"/>
  <c r="O49" i="1"/>
  <c r="N49" i="1"/>
  <c r="O48" i="1"/>
  <c r="N48" i="1"/>
  <c r="O47" i="1"/>
  <c r="N47" i="1"/>
  <c r="O46" i="1"/>
  <c r="N46" i="1"/>
  <c r="O45" i="1"/>
  <c r="N45" i="1"/>
  <c r="O44" i="1"/>
  <c r="N44" i="1"/>
  <c r="O43" i="1"/>
  <c r="N43" i="1"/>
  <c r="O42" i="1"/>
  <c r="N42" i="1"/>
  <c r="O41" i="1"/>
  <c r="N41" i="1"/>
  <c r="O40" i="1"/>
  <c r="N40" i="1"/>
  <c r="O39" i="1"/>
  <c r="N39" i="1"/>
  <c r="O38" i="1"/>
  <c r="N38" i="1"/>
  <c r="O37" i="1"/>
  <c r="N37" i="1"/>
  <c r="O36" i="1"/>
  <c r="N36" i="1"/>
  <c r="O35" i="1"/>
  <c r="N35" i="1"/>
  <c r="O34" i="1"/>
  <c r="N34" i="1"/>
  <c r="O33" i="1"/>
  <c r="N33" i="1"/>
  <c r="O32" i="1"/>
  <c r="N32" i="1"/>
  <c r="O31" i="1"/>
  <c r="N31" i="1"/>
  <c r="O30" i="1"/>
  <c r="N30" i="1"/>
  <c r="O29" i="1"/>
  <c r="N29" i="1"/>
  <c r="O28" i="1"/>
  <c r="N28" i="1"/>
  <c r="O27" i="1"/>
  <c r="N27" i="1"/>
  <c r="O26" i="1"/>
  <c r="N26" i="1"/>
  <c r="O25" i="1"/>
  <c r="N25" i="1"/>
  <c r="O24" i="1"/>
  <c r="N24" i="1"/>
  <c r="O23" i="1"/>
  <c r="N23" i="1"/>
  <c r="O22" i="1"/>
  <c r="N22" i="1"/>
  <c r="O21" i="1"/>
  <c r="N21" i="1"/>
  <c r="O20" i="1"/>
  <c r="N20" i="1"/>
  <c r="O19" i="1"/>
  <c r="N19" i="1"/>
  <c r="O18" i="1"/>
  <c r="N18" i="1"/>
  <c r="O17" i="1"/>
  <c r="N17" i="1"/>
  <c r="O16" i="1"/>
  <c r="N16" i="1"/>
  <c r="O15" i="1"/>
  <c r="N15" i="1"/>
  <c r="O14" i="1"/>
  <c r="N14" i="1"/>
  <c r="O13" i="1"/>
  <c r="N13" i="1"/>
  <c r="O12" i="1"/>
  <c r="N12" i="1"/>
  <c r="O11" i="1"/>
  <c r="N11" i="1"/>
  <c r="O10" i="1"/>
  <c r="N10" i="1"/>
  <c r="O9" i="1"/>
  <c r="N9" i="1"/>
  <c r="O8" i="1"/>
  <c r="N8" i="1"/>
  <c r="O7" i="1"/>
  <c r="N7" i="1"/>
  <c r="O6" i="1"/>
  <c r="N6" i="1"/>
  <c r="O5" i="1"/>
  <c r="N5" i="1"/>
  <c r="O4" i="1"/>
  <c r="N4" i="1"/>
  <c r="O3" i="1"/>
  <c r="N3" i="1"/>
  <c r="O2" i="1"/>
  <c r="N2" i="1"/>
</calcChain>
</file>

<file path=xl/sharedStrings.xml><?xml version="1.0" encoding="utf-8"?>
<sst xmlns="http://schemas.openxmlformats.org/spreadsheetml/2006/main" count="305" uniqueCount="214">
  <si>
    <t>group_name</t>
  </si>
  <si>
    <t>new_actor_id</t>
  </si>
  <si>
    <t>territorial_cont</t>
  </si>
  <si>
    <t>ideol_ord</t>
  </si>
  <si>
    <t>islamist_appeals</t>
  </si>
  <si>
    <t>feminist_appeals</t>
  </si>
  <si>
    <t>reb_strength_ord</t>
  </si>
  <si>
    <t>forced_recruit</t>
  </si>
  <si>
    <t>ethno_nat</t>
  </si>
  <si>
    <t>any_rape</t>
  </si>
  <si>
    <t>any_mprape</t>
  </si>
  <si>
    <t>group_start_year</t>
  </si>
  <si>
    <t>group_end_year</t>
  </si>
  <si>
    <t>group_duration</t>
  </si>
  <si>
    <t>still_active</t>
  </si>
  <si>
    <t>forced_marriage</t>
  </si>
  <si>
    <t>forced_abortion</t>
  </si>
  <si>
    <t>forced_pregnancy</t>
  </si>
  <si>
    <t>region</t>
  </si>
  <si>
    <t>al-Qaida</t>
  </si>
  <si>
    <t>NA</t>
  </si>
  <si>
    <t>EZLN</t>
  </si>
  <si>
    <t>EPR</t>
  </si>
  <si>
    <t>URNG</t>
  </si>
  <si>
    <t>FMLN</t>
  </si>
  <si>
    <t>Contras/FDN</t>
  </si>
  <si>
    <t>EPL</t>
  </si>
  <si>
    <t>FARC</t>
  </si>
  <si>
    <t>ELN</t>
  </si>
  <si>
    <t>Sendero Luminoso</t>
  </si>
  <si>
    <t>MRTA</t>
  </si>
  <si>
    <t>RIRA</t>
  </si>
  <si>
    <t>PIRA</t>
  </si>
  <si>
    <t>ETA</t>
  </si>
  <si>
    <t>UCK</t>
  </si>
  <si>
    <t>Chechen Republic of Ichkeria</t>
  </si>
  <si>
    <t>Wahhabi movement of the Buinaksk district</t>
  </si>
  <si>
    <t>Forces of the Caucasus Emirate</t>
  </si>
  <si>
    <t>ATNMC</t>
  </si>
  <si>
    <t>MFDC</t>
  </si>
  <si>
    <t>MNJ</t>
  </si>
  <si>
    <t>FDR</t>
  </si>
  <si>
    <t>FLAA</t>
  </si>
  <si>
    <t>MJP</t>
  </si>
  <si>
    <t>MPCI</t>
  </si>
  <si>
    <t>MPIGO</t>
  </si>
  <si>
    <t>NPFL</t>
  </si>
  <si>
    <t>LURD</t>
  </si>
  <si>
    <t>INPFL</t>
  </si>
  <si>
    <t>RUF</t>
  </si>
  <si>
    <t>Ahlul Sunnah Jamaa</t>
  </si>
  <si>
    <t>NDPVF</t>
  </si>
  <si>
    <t>Jama'atu Ahlis Sunna Lidda'awati wal-Jihad</t>
  </si>
  <si>
    <t>CPJP</t>
  </si>
  <si>
    <t>UFDR</t>
  </si>
  <si>
    <t>RAFD</t>
  </si>
  <si>
    <t>FUCD</t>
  </si>
  <si>
    <t>AN</t>
  </si>
  <si>
    <t>FARF</t>
  </si>
  <si>
    <t>CSNPD</t>
  </si>
  <si>
    <t>UFDD</t>
  </si>
  <si>
    <t>MDD</t>
  </si>
  <si>
    <t>UFR</t>
  </si>
  <si>
    <t>MDJT</t>
  </si>
  <si>
    <t>Cocoyes</t>
  </si>
  <si>
    <t>Ninjas</t>
  </si>
  <si>
    <t>Ntsiloulous</t>
  </si>
  <si>
    <t>AFDL</t>
  </si>
  <si>
    <t>RCD</t>
  </si>
  <si>
    <t>MLC</t>
  </si>
  <si>
    <t>CNDP</t>
  </si>
  <si>
    <t>ADF</t>
  </si>
  <si>
    <t>UPA</t>
  </si>
  <si>
    <t>UNRF II</t>
  </si>
  <si>
    <t>WNBF</t>
  </si>
  <si>
    <t>Palipehutu-FNL</t>
  </si>
  <si>
    <t>CNDD-FDD</t>
  </si>
  <si>
    <t>Frolina</t>
  </si>
  <si>
    <t>ALiR</t>
  </si>
  <si>
    <t>FPR</t>
  </si>
  <si>
    <t>FDLR</t>
  </si>
  <si>
    <t>SNM</t>
  </si>
  <si>
    <t>SRRC</t>
  </si>
  <si>
    <t>SPM</t>
  </si>
  <si>
    <t>USC/SNA</t>
  </si>
  <si>
    <t>Hizbul Islam</t>
  </si>
  <si>
    <t>USC/SSA</t>
  </si>
  <si>
    <t>Al-Shabaab</t>
  </si>
  <si>
    <t>ARS/UIC</t>
  </si>
  <si>
    <t>FRUD</t>
  </si>
  <si>
    <t>ONLF</t>
  </si>
  <si>
    <t>EPLF</t>
  </si>
  <si>
    <t>EPRDF</t>
  </si>
  <si>
    <t>AIAI</t>
  </si>
  <si>
    <t>OLF</t>
  </si>
  <si>
    <t>ARDUF</t>
  </si>
  <si>
    <t>EIJM - AS</t>
  </si>
  <si>
    <t>FLEC-FAC</t>
  </si>
  <si>
    <t>UNITA</t>
  </si>
  <si>
    <t>FLEC-R</t>
  </si>
  <si>
    <t>Renamo</t>
  </si>
  <si>
    <t>POLISARIO</t>
  </si>
  <si>
    <t>GIA</t>
  </si>
  <si>
    <t>Takfir wa'l Hijra</t>
  </si>
  <si>
    <t>AIS</t>
  </si>
  <si>
    <t>AQIM</t>
  </si>
  <si>
    <t>NDA</t>
  </si>
  <si>
    <t>NRF</t>
  </si>
  <si>
    <t>SPLM/A</t>
  </si>
  <si>
    <t>SLM/A</t>
  </si>
  <si>
    <t>SSLM/A</t>
  </si>
  <si>
    <t>SLM/A - MM</t>
  </si>
  <si>
    <t>JEM</t>
  </si>
  <si>
    <t>SLM/A-Unity</t>
  </si>
  <si>
    <t>PJAK</t>
  </si>
  <si>
    <t>KDPI</t>
  </si>
  <si>
    <t>Jondullah</t>
  </si>
  <si>
    <t>MEK</t>
  </si>
  <si>
    <t>MKP</t>
  </si>
  <si>
    <t>Devrimci Sol</t>
  </si>
  <si>
    <t>al-Mahdi Army</t>
  </si>
  <si>
    <t>Ansar al-Islam</t>
  </si>
  <si>
    <t>PUK</t>
  </si>
  <si>
    <t>IS</t>
  </si>
  <si>
    <t>al-Gama'a al-Islamiyya</t>
  </si>
  <si>
    <t>PLO</t>
  </si>
  <si>
    <t>Hezbollah</t>
  </si>
  <si>
    <t>PFLP-GC</t>
  </si>
  <si>
    <t>Hamas</t>
  </si>
  <si>
    <t>PRC</t>
  </si>
  <si>
    <t>AMB</t>
  </si>
  <si>
    <t>Fatah</t>
  </si>
  <si>
    <t>PIJ</t>
  </si>
  <si>
    <t>PFLP</t>
  </si>
  <si>
    <t>AQAP</t>
  </si>
  <si>
    <t>Junbish-i Milli-yi Islami</t>
  </si>
  <si>
    <t>Jam'iyyat-i Islami-yi Afghanistan</t>
  </si>
  <si>
    <t>Hizb-i Islami-yi Afghanistan - Khalis faction</t>
  </si>
  <si>
    <t>UIFSA</t>
  </si>
  <si>
    <t>Mahaz-i Milli-yi Islami-yi Afghanistan</t>
  </si>
  <si>
    <t>Hizb-i Islami-yi Afghanistan</t>
  </si>
  <si>
    <t>Taleban</t>
  </si>
  <si>
    <t>Hizb-i Wahdat</t>
  </si>
  <si>
    <t>UTO</t>
  </si>
  <si>
    <t>JIG</t>
  </si>
  <si>
    <t>IMU</t>
  </si>
  <si>
    <t>MCC</t>
  </si>
  <si>
    <t>ULFA</t>
  </si>
  <si>
    <t>CPI-Maoist</t>
  </si>
  <si>
    <t>PWG</t>
  </si>
  <si>
    <t>NDFB</t>
  </si>
  <si>
    <t>NLFT</t>
  </si>
  <si>
    <t>KCP</t>
  </si>
  <si>
    <t>PREPAK</t>
  </si>
  <si>
    <t>NSCN-IM</t>
  </si>
  <si>
    <t>PLA</t>
  </si>
  <si>
    <t>Sikh insurgents</t>
  </si>
  <si>
    <t>UNLF</t>
  </si>
  <si>
    <t>Kashmir insurgents</t>
  </si>
  <si>
    <t>PULF</t>
  </si>
  <si>
    <t>NDFB - RD</t>
  </si>
  <si>
    <t>ATTF</t>
  </si>
  <si>
    <t>TTP</t>
  </si>
  <si>
    <t>BRA</t>
  </si>
  <si>
    <t>BLA</t>
  </si>
  <si>
    <t>JSS/SB</t>
  </si>
  <si>
    <t>MTA</t>
  </si>
  <si>
    <t>RCSS</t>
  </si>
  <si>
    <t>KIO</t>
  </si>
  <si>
    <t>ABSDF</t>
  </si>
  <si>
    <t>God's Army</t>
  </si>
  <si>
    <t>NSCN-K</t>
  </si>
  <si>
    <t>MNDAA</t>
  </si>
  <si>
    <t>NMSP</t>
  </si>
  <si>
    <t>UWSA</t>
  </si>
  <si>
    <t>RSO</t>
  </si>
  <si>
    <t>KNU</t>
  </si>
  <si>
    <t>KNPP</t>
  </si>
  <si>
    <t>LTTE</t>
  </si>
  <si>
    <t>JVP</t>
  </si>
  <si>
    <t>EPRLF</t>
  </si>
  <si>
    <t>CPN-M</t>
  </si>
  <si>
    <t>Patani insurgents</t>
  </si>
  <si>
    <t>KR</t>
  </si>
  <si>
    <t>KPNLF</t>
  </si>
  <si>
    <t>LRM</t>
  </si>
  <si>
    <t>MNLF - HM</t>
  </si>
  <si>
    <t>ASG</t>
  </si>
  <si>
    <t>MILF</t>
  </si>
  <si>
    <t>MNLF - NM</t>
  </si>
  <si>
    <t>MNLF</t>
  </si>
  <si>
    <t>Fretilin</t>
  </si>
  <si>
    <t>GAM</t>
  </si>
  <si>
    <t>Lord resistance Army</t>
  </si>
  <si>
    <t>Hizbul-Mujahideen</t>
  </si>
  <si>
    <t>Ansar Allah(Houthis)</t>
  </si>
  <si>
    <t>Haqqani Network</t>
  </si>
  <si>
    <t>Tehreek-e-Nafaz-e-Shariat-e-Mohammadi</t>
  </si>
  <si>
    <t>Communist Party of the Philippines/New People’s Army (CPP/NPA)</t>
  </si>
  <si>
    <t>Lashkar-e-Tayyaba</t>
  </si>
  <si>
    <t>Ansar Dine</t>
  </si>
  <si>
    <t>MUJAO</t>
  </si>
  <si>
    <t>APCLS</t>
  </si>
  <si>
    <t>UPC (Ali Darass Fulani supporters)</t>
  </si>
  <si>
    <t>Kamuina Nsapu</t>
  </si>
  <si>
    <t>JNIM</t>
  </si>
  <si>
    <t>Ansar al-Sunnah</t>
  </si>
  <si>
    <t>CPC</t>
  </si>
  <si>
    <t>Ambazonia insurgents</t>
  </si>
  <si>
    <t>anti-Balaka</t>
  </si>
  <si>
    <t>AFRC</t>
  </si>
  <si>
    <t>Muslim Brotherhood</t>
  </si>
  <si>
    <t>Seleka</t>
  </si>
  <si>
    <t>religious_secular_group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</si>
</sst>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charset val="134"/>
      <scheme val="minor"/>
    </font>
    <font>
      <sz val="11"/>
      <color rgb="FF242424"/>
      <name val="Aptos Narrow"/>
      <charset val="134"/>
    </font>
    <font>
      <sz val="11"/>
      <color rgb="FF000000"/>
      <name val="Calibri"/>
      <charset val="134"/>
    </font>
    <font>
      <u/>
      <sz val="11"/>
      <color theme="10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1" applyFont="1"/>
    <xf numFmtId="0" fontId="0" fillId="0" borderId="0" xfId="0" applyAlignment="1">
      <alignment vertical="center" wrapText="1"/>
    </xf>
    <xf numFmtId="0" fontId="3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mappingmilitants.org/profiles/abu-sayyaf-grou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98"/>
  <sheetViews>
    <sheetView tabSelected="1" topLeftCell="G1" workbookViewId="0">
      <selection activeCell="W6" sqref="W6"/>
    </sheetView>
  </sheetViews>
  <sheetFormatPr defaultColWidth="9" defaultRowHeight="14.5"/>
  <cols>
    <col min="1" max="1" width="35.26953125" customWidth="1"/>
    <col min="2" max="3" width="13.453125" customWidth="1"/>
    <col min="12" max="12" width="14.81640625" customWidth="1"/>
    <col min="13" max="14" width="13.26953125" customWidth="1"/>
  </cols>
  <sheetData>
    <row r="1" spans="1:20" ht="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213</v>
      </c>
    </row>
    <row r="2" spans="1:20">
      <c r="A2" t="s">
        <v>19</v>
      </c>
      <c r="B2">
        <v>769</v>
      </c>
      <c r="C2">
        <v>0</v>
      </c>
      <c r="D2">
        <v>3</v>
      </c>
      <c r="E2">
        <v>1</v>
      </c>
      <c r="F2">
        <v>0</v>
      </c>
      <c r="G2">
        <v>1</v>
      </c>
      <c r="H2">
        <v>0</v>
      </c>
      <c r="I2">
        <v>1</v>
      </c>
      <c r="J2">
        <v>1</v>
      </c>
      <c r="K2">
        <v>0</v>
      </c>
      <c r="L2">
        <v>1988</v>
      </c>
      <c r="M2">
        <v>2024</v>
      </c>
      <c r="N2">
        <f>M2-L2</f>
        <v>36</v>
      </c>
      <c r="O2">
        <f t="shared" ref="O2:O33" si="0">IF(M2=2024,1,IF(M2&lt;2024,0))</f>
        <v>1</v>
      </c>
      <c r="P2">
        <v>1</v>
      </c>
      <c r="Q2" t="s">
        <v>20</v>
      </c>
      <c r="R2" t="s">
        <v>20</v>
      </c>
      <c r="S2">
        <v>4</v>
      </c>
      <c r="T2">
        <v>1</v>
      </c>
    </row>
    <row r="3" spans="1:20">
      <c r="A3" t="s">
        <v>21</v>
      </c>
      <c r="B3">
        <v>767</v>
      </c>
      <c r="C3">
        <v>1</v>
      </c>
      <c r="D3">
        <v>4</v>
      </c>
      <c r="E3">
        <v>0</v>
      </c>
      <c r="F3">
        <v>0</v>
      </c>
      <c r="G3">
        <v>2</v>
      </c>
      <c r="H3">
        <v>0</v>
      </c>
      <c r="I3">
        <v>1</v>
      </c>
      <c r="J3">
        <v>0</v>
      </c>
      <c r="K3">
        <v>0</v>
      </c>
      <c r="L3">
        <v>1983</v>
      </c>
      <c r="M3">
        <v>2024</v>
      </c>
      <c r="N3">
        <f t="shared" ref="N3:N37" si="1">M3-L3</f>
        <v>41</v>
      </c>
      <c r="O3">
        <f t="shared" si="0"/>
        <v>1</v>
      </c>
      <c r="P3">
        <v>0</v>
      </c>
      <c r="Q3">
        <v>0</v>
      </c>
      <c r="R3">
        <v>0</v>
      </c>
      <c r="S3">
        <v>2</v>
      </c>
      <c r="T3">
        <v>0</v>
      </c>
    </row>
    <row r="4" spans="1:20">
      <c r="A4" t="s">
        <v>22</v>
      </c>
      <c r="B4">
        <v>768</v>
      </c>
      <c r="C4">
        <v>0</v>
      </c>
      <c r="D4">
        <v>3</v>
      </c>
      <c r="E4">
        <v>0</v>
      </c>
      <c r="F4">
        <v>0</v>
      </c>
      <c r="G4">
        <v>2</v>
      </c>
      <c r="H4">
        <v>0</v>
      </c>
      <c r="I4">
        <v>0</v>
      </c>
      <c r="J4">
        <v>0</v>
      </c>
      <c r="K4">
        <v>0</v>
      </c>
      <c r="L4">
        <v>1994</v>
      </c>
      <c r="M4">
        <v>2024</v>
      </c>
      <c r="N4">
        <f t="shared" si="1"/>
        <v>30</v>
      </c>
      <c r="O4">
        <f t="shared" si="0"/>
        <v>1</v>
      </c>
      <c r="Q4">
        <v>0</v>
      </c>
      <c r="R4">
        <v>0</v>
      </c>
      <c r="S4">
        <v>2</v>
      </c>
      <c r="T4">
        <v>0</v>
      </c>
    </row>
    <row r="5" spans="1:20">
      <c r="A5" t="s">
        <v>23</v>
      </c>
      <c r="B5">
        <v>732</v>
      </c>
      <c r="C5">
        <v>0</v>
      </c>
      <c r="D5">
        <v>2</v>
      </c>
      <c r="E5">
        <v>0</v>
      </c>
      <c r="F5">
        <v>0</v>
      </c>
      <c r="G5">
        <v>2</v>
      </c>
      <c r="H5">
        <v>1</v>
      </c>
      <c r="I5">
        <v>1</v>
      </c>
      <c r="J5">
        <v>0</v>
      </c>
      <c r="K5">
        <v>0</v>
      </c>
      <c r="L5">
        <v>1982</v>
      </c>
      <c r="M5">
        <v>1996</v>
      </c>
      <c r="N5">
        <f t="shared" si="1"/>
        <v>14</v>
      </c>
      <c r="O5">
        <f t="shared" si="0"/>
        <v>0</v>
      </c>
      <c r="P5">
        <v>0</v>
      </c>
      <c r="Q5">
        <v>0</v>
      </c>
      <c r="R5">
        <v>0</v>
      </c>
      <c r="S5">
        <v>2</v>
      </c>
      <c r="T5">
        <v>0</v>
      </c>
    </row>
    <row r="6" spans="1:20">
      <c r="A6" t="s">
        <v>24</v>
      </c>
      <c r="B6">
        <v>755</v>
      </c>
      <c r="C6">
        <v>1</v>
      </c>
      <c r="D6">
        <v>4</v>
      </c>
      <c r="E6">
        <v>0</v>
      </c>
      <c r="F6">
        <v>0</v>
      </c>
      <c r="G6">
        <v>2</v>
      </c>
      <c r="H6">
        <v>1</v>
      </c>
      <c r="I6">
        <v>0</v>
      </c>
      <c r="J6">
        <v>0</v>
      </c>
      <c r="K6">
        <v>0</v>
      </c>
      <c r="L6">
        <v>1980</v>
      </c>
      <c r="M6">
        <v>1992</v>
      </c>
      <c r="N6">
        <f t="shared" si="1"/>
        <v>12</v>
      </c>
      <c r="O6">
        <f t="shared" si="0"/>
        <v>0</v>
      </c>
      <c r="P6">
        <v>0</v>
      </c>
      <c r="Q6">
        <v>1</v>
      </c>
      <c r="R6">
        <v>0</v>
      </c>
      <c r="S6">
        <v>2</v>
      </c>
      <c r="T6">
        <v>0</v>
      </c>
    </row>
    <row r="7" spans="1:20">
      <c r="A7" t="s">
        <v>25</v>
      </c>
      <c r="B7">
        <v>759</v>
      </c>
      <c r="C7">
        <v>0</v>
      </c>
      <c r="D7">
        <v>4</v>
      </c>
      <c r="E7">
        <v>0</v>
      </c>
      <c r="F7">
        <v>0</v>
      </c>
      <c r="G7">
        <v>2</v>
      </c>
      <c r="H7">
        <v>1</v>
      </c>
      <c r="I7">
        <v>0</v>
      </c>
      <c r="J7">
        <v>0</v>
      </c>
      <c r="K7">
        <v>0</v>
      </c>
      <c r="L7">
        <v>1981</v>
      </c>
      <c r="M7">
        <v>1987</v>
      </c>
      <c r="N7">
        <f t="shared" si="1"/>
        <v>6</v>
      </c>
      <c r="O7">
        <f t="shared" si="0"/>
        <v>0</v>
      </c>
      <c r="P7">
        <v>0</v>
      </c>
      <c r="Q7">
        <v>0</v>
      </c>
      <c r="R7">
        <v>0</v>
      </c>
      <c r="S7">
        <v>2</v>
      </c>
      <c r="T7">
        <v>0</v>
      </c>
    </row>
    <row r="8" spans="1:20">
      <c r="A8" t="s">
        <v>26</v>
      </c>
      <c r="B8">
        <v>746</v>
      </c>
      <c r="C8">
        <v>0</v>
      </c>
      <c r="D8">
        <v>4</v>
      </c>
      <c r="E8">
        <v>0</v>
      </c>
      <c r="F8">
        <v>0</v>
      </c>
      <c r="G8">
        <v>1</v>
      </c>
      <c r="H8">
        <v>1</v>
      </c>
      <c r="I8">
        <v>0</v>
      </c>
      <c r="J8">
        <v>0</v>
      </c>
      <c r="K8">
        <v>0</v>
      </c>
      <c r="L8">
        <v>1967</v>
      </c>
      <c r="M8">
        <v>2024</v>
      </c>
      <c r="N8">
        <f t="shared" si="1"/>
        <v>57</v>
      </c>
      <c r="O8">
        <f t="shared" si="0"/>
        <v>1</v>
      </c>
      <c r="P8">
        <v>0</v>
      </c>
      <c r="Q8">
        <v>0</v>
      </c>
      <c r="R8">
        <v>0</v>
      </c>
      <c r="S8">
        <v>2</v>
      </c>
      <c r="T8">
        <v>0</v>
      </c>
    </row>
    <row r="9" spans="1:20">
      <c r="A9" t="s">
        <v>27</v>
      </c>
      <c r="B9">
        <v>743</v>
      </c>
      <c r="C9">
        <v>1</v>
      </c>
      <c r="D9">
        <v>3</v>
      </c>
      <c r="E9">
        <v>0</v>
      </c>
      <c r="F9">
        <v>0</v>
      </c>
      <c r="G9">
        <v>2</v>
      </c>
      <c r="H9">
        <v>1</v>
      </c>
      <c r="I9">
        <v>0</v>
      </c>
      <c r="J9">
        <v>1</v>
      </c>
      <c r="K9">
        <v>1</v>
      </c>
      <c r="L9">
        <v>1964</v>
      </c>
      <c r="M9">
        <v>2017</v>
      </c>
      <c r="N9">
        <f t="shared" si="1"/>
        <v>53</v>
      </c>
      <c r="O9">
        <f t="shared" si="0"/>
        <v>0</v>
      </c>
      <c r="P9">
        <v>0</v>
      </c>
      <c r="Q9">
        <v>1</v>
      </c>
      <c r="R9">
        <v>0</v>
      </c>
      <c r="S9">
        <v>2</v>
      </c>
      <c r="T9">
        <v>0</v>
      </c>
    </row>
    <row r="10" spans="1:20">
      <c r="A10" t="s">
        <v>28</v>
      </c>
      <c r="B10">
        <v>744</v>
      </c>
      <c r="C10">
        <v>1</v>
      </c>
      <c r="D10">
        <v>3</v>
      </c>
      <c r="E10">
        <v>0</v>
      </c>
      <c r="F10">
        <v>0</v>
      </c>
      <c r="G10">
        <v>1</v>
      </c>
      <c r="H10">
        <v>1</v>
      </c>
      <c r="I10">
        <v>0</v>
      </c>
      <c r="J10">
        <v>1</v>
      </c>
      <c r="K10">
        <v>0</v>
      </c>
      <c r="L10">
        <v>1947</v>
      </c>
      <c r="M10">
        <v>2024</v>
      </c>
      <c r="N10">
        <f t="shared" si="1"/>
        <v>77</v>
      </c>
      <c r="O10">
        <f t="shared" si="0"/>
        <v>1</v>
      </c>
      <c r="P10">
        <v>0</v>
      </c>
      <c r="Q10">
        <v>1</v>
      </c>
      <c r="R10">
        <v>0</v>
      </c>
      <c r="S10">
        <v>2</v>
      </c>
      <c r="T10">
        <v>0</v>
      </c>
    </row>
    <row r="11" spans="1:20">
      <c r="A11" t="s">
        <v>29</v>
      </c>
      <c r="B11">
        <v>750</v>
      </c>
      <c r="C11">
        <v>0</v>
      </c>
      <c r="D11">
        <v>4</v>
      </c>
      <c r="E11">
        <v>0</v>
      </c>
      <c r="F11">
        <v>0</v>
      </c>
      <c r="G11">
        <v>1</v>
      </c>
      <c r="H11">
        <v>1</v>
      </c>
      <c r="I11">
        <v>0</v>
      </c>
      <c r="J11">
        <v>0</v>
      </c>
      <c r="K11">
        <v>0</v>
      </c>
      <c r="L11">
        <v>1970</v>
      </c>
      <c r="M11">
        <v>2012</v>
      </c>
      <c r="N11">
        <f t="shared" si="1"/>
        <v>42</v>
      </c>
      <c r="O11">
        <f t="shared" si="0"/>
        <v>0</v>
      </c>
      <c r="P11">
        <v>1</v>
      </c>
      <c r="Q11">
        <v>1</v>
      </c>
      <c r="R11">
        <v>1</v>
      </c>
      <c r="S11">
        <v>2</v>
      </c>
      <c r="T11">
        <v>0</v>
      </c>
    </row>
    <row r="12" spans="1:20">
      <c r="A12" t="s">
        <v>30</v>
      </c>
      <c r="B12">
        <v>751</v>
      </c>
      <c r="C12">
        <v>0</v>
      </c>
      <c r="D12">
        <v>3</v>
      </c>
      <c r="E12">
        <v>0</v>
      </c>
      <c r="F12">
        <v>0</v>
      </c>
      <c r="G12">
        <v>1</v>
      </c>
      <c r="H12">
        <v>1</v>
      </c>
      <c r="I12">
        <v>0</v>
      </c>
      <c r="J12">
        <v>0</v>
      </c>
      <c r="K12">
        <v>0</v>
      </c>
      <c r="L12">
        <v>1983</v>
      </c>
      <c r="M12">
        <v>1997</v>
      </c>
      <c r="N12">
        <f t="shared" si="1"/>
        <v>14</v>
      </c>
      <c r="O12">
        <f t="shared" si="0"/>
        <v>0</v>
      </c>
      <c r="P12">
        <v>0</v>
      </c>
      <c r="Q12">
        <v>0</v>
      </c>
      <c r="R12">
        <v>0</v>
      </c>
      <c r="S12">
        <v>2</v>
      </c>
      <c r="T12">
        <v>0</v>
      </c>
    </row>
    <row r="13" spans="1:20">
      <c r="A13" t="s">
        <v>31</v>
      </c>
      <c r="B13">
        <v>283</v>
      </c>
      <c r="C13">
        <v>0</v>
      </c>
      <c r="D13">
        <v>4</v>
      </c>
      <c r="E13">
        <v>0</v>
      </c>
      <c r="F13">
        <v>0</v>
      </c>
      <c r="G13">
        <v>1</v>
      </c>
      <c r="H13">
        <v>0</v>
      </c>
      <c r="I13">
        <v>1</v>
      </c>
      <c r="J13">
        <v>0</v>
      </c>
      <c r="K13">
        <v>0</v>
      </c>
      <c r="L13">
        <v>1997</v>
      </c>
      <c r="M13">
        <v>2012</v>
      </c>
      <c r="N13">
        <f t="shared" si="1"/>
        <v>15</v>
      </c>
      <c r="O13">
        <f t="shared" si="0"/>
        <v>0</v>
      </c>
      <c r="P13">
        <v>0</v>
      </c>
      <c r="Q13">
        <v>0</v>
      </c>
      <c r="R13">
        <v>0</v>
      </c>
      <c r="S13">
        <v>5</v>
      </c>
      <c r="T13">
        <v>0</v>
      </c>
    </row>
    <row r="14" spans="1:20">
      <c r="A14" t="s">
        <v>32</v>
      </c>
      <c r="B14">
        <v>282</v>
      </c>
      <c r="C14">
        <v>0</v>
      </c>
      <c r="D14">
        <v>4</v>
      </c>
      <c r="E14">
        <v>0</v>
      </c>
      <c r="F14">
        <v>0</v>
      </c>
      <c r="G14">
        <v>1</v>
      </c>
      <c r="H14">
        <v>0</v>
      </c>
      <c r="I14">
        <v>1</v>
      </c>
      <c r="J14">
        <v>0</v>
      </c>
      <c r="K14">
        <v>0</v>
      </c>
      <c r="L14">
        <v>1969</v>
      </c>
      <c r="M14">
        <v>2005</v>
      </c>
      <c r="N14">
        <f t="shared" si="1"/>
        <v>36</v>
      </c>
      <c r="O14">
        <f t="shared" si="0"/>
        <v>0</v>
      </c>
      <c r="P14">
        <v>0</v>
      </c>
      <c r="Q14">
        <v>0</v>
      </c>
      <c r="R14">
        <v>0</v>
      </c>
      <c r="S14">
        <v>5</v>
      </c>
      <c r="T14">
        <v>0</v>
      </c>
    </row>
    <row r="15" spans="1:20">
      <c r="A15" t="s">
        <v>33</v>
      </c>
      <c r="B15">
        <v>313</v>
      </c>
      <c r="C15">
        <v>0</v>
      </c>
      <c r="D15">
        <v>4</v>
      </c>
      <c r="E15">
        <v>0</v>
      </c>
      <c r="F15">
        <v>0</v>
      </c>
      <c r="G15">
        <v>1</v>
      </c>
      <c r="H15">
        <v>0</v>
      </c>
      <c r="I15">
        <v>1</v>
      </c>
      <c r="J15">
        <v>0</v>
      </c>
      <c r="K15">
        <v>0</v>
      </c>
      <c r="L15">
        <v>1959</v>
      </c>
      <c r="M15">
        <v>2011</v>
      </c>
      <c r="N15">
        <f t="shared" si="1"/>
        <v>52</v>
      </c>
      <c r="O15">
        <f t="shared" si="0"/>
        <v>0</v>
      </c>
      <c r="P15">
        <v>0</v>
      </c>
      <c r="Q15">
        <v>0</v>
      </c>
      <c r="R15">
        <v>0</v>
      </c>
      <c r="S15">
        <v>5</v>
      </c>
      <c r="T15">
        <v>0</v>
      </c>
    </row>
    <row r="16" spans="1:20">
      <c r="A16" t="s">
        <v>34</v>
      </c>
      <c r="B16">
        <v>361</v>
      </c>
      <c r="C16">
        <v>1</v>
      </c>
      <c r="D16">
        <v>4</v>
      </c>
      <c r="E16">
        <v>0</v>
      </c>
      <c r="F16">
        <v>0</v>
      </c>
      <c r="G16">
        <v>1</v>
      </c>
      <c r="H16">
        <v>0</v>
      </c>
      <c r="I16">
        <v>1</v>
      </c>
      <c r="J16">
        <v>0</v>
      </c>
      <c r="K16">
        <v>0</v>
      </c>
      <c r="L16">
        <v>1990</v>
      </c>
      <c r="M16">
        <v>2001</v>
      </c>
      <c r="N16">
        <f t="shared" si="1"/>
        <v>11</v>
      </c>
      <c r="O16">
        <f t="shared" si="0"/>
        <v>0</v>
      </c>
      <c r="P16">
        <v>0</v>
      </c>
      <c r="Q16">
        <v>0</v>
      </c>
      <c r="R16">
        <v>0</v>
      </c>
      <c r="S16">
        <v>5</v>
      </c>
      <c r="T16">
        <v>0</v>
      </c>
    </row>
    <row r="17" spans="1:20">
      <c r="A17" t="s">
        <v>34</v>
      </c>
      <c r="B17">
        <v>357</v>
      </c>
      <c r="C17">
        <v>0</v>
      </c>
      <c r="D17">
        <v>3</v>
      </c>
      <c r="E17">
        <v>0</v>
      </c>
      <c r="F17">
        <v>0</v>
      </c>
      <c r="G17">
        <v>2</v>
      </c>
      <c r="H17">
        <v>0</v>
      </c>
      <c r="I17">
        <v>1</v>
      </c>
      <c r="J17">
        <v>1</v>
      </c>
      <c r="K17">
        <v>1</v>
      </c>
      <c r="L17">
        <v>1992</v>
      </c>
      <c r="M17">
        <v>1996</v>
      </c>
      <c r="N17">
        <f t="shared" si="1"/>
        <v>4</v>
      </c>
      <c r="O17">
        <f t="shared" si="0"/>
        <v>0</v>
      </c>
      <c r="P17">
        <v>0</v>
      </c>
      <c r="Q17">
        <v>0</v>
      </c>
      <c r="R17">
        <v>0</v>
      </c>
      <c r="S17">
        <v>5</v>
      </c>
      <c r="T17">
        <v>0</v>
      </c>
    </row>
    <row r="18" spans="1:20">
      <c r="A18" t="s">
        <v>35</v>
      </c>
      <c r="B18">
        <v>352</v>
      </c>
      <c r="C18">
        <v>1</v>
      </c>
      <c r="D18">
        <v>3</v>
      </c>
      <c r="E18">
        <v>1</v>
      </c>
      <c r="F18">
        <v>0</v>
      </c>
      <c r="G18">
        <v>2</v>
      </c>
      <c r="H18">
        <v>1</v>
      </c>
      <c r="I18">
        <v>1</v>
      </c>
      <c r="J18">
        <v>1</v>
      </c>
      <c r="K18">
        <v>0</v>
      </c>
      <c r="L18">
        <v>1991</v>
      </c>
      <c r="M18">
        <v>2000</v>
      </c>
      <c r="N18">
        <f t="shared" si="1"/>
        <v>9</v>
      </c>
      <c r="O18">
        <f t="shared" si="0"/>
        <v>0</v>
      </c>
      <c r="P18">
        <v>0</v>
      </c>
      <c r="Q18">
        <v>0</v>
      </c>
      <c r="R18">
        <v>0</v>
      </c>
      <c r="S18">
        <v>5</v>
      </c>
      <c r="T18">
        <v>0</v>
      </c>
    </row>
    <row r="19" spans="1:20">
      <c r="A19" t="s">
        <v>36</v>
      </c>
      <c r="B19">
        <v>358</v>
      </c>
      <c r="C19">
        <v>1</v>
      </c>
      <c r="D19">
        <v>4</v>
      </c>
      <c r="E19">
        <v>1</v>
      </c>
      <c r="F19">
        <v>0</v>
      </c>
      <c r="G19">
        <v>2</v>
      </c>
      <c r="H19">
        <v>0</v>
      </c>
      <c r="I19">
        <v>1</v>
      </c>
      <c r="J19">
        <v>0</v>
      </c>
      <c r="K19">
        <v>0</v>
      </c>
      <c r="L19">
        <v>1996</v>
      </c>
      <c r="M19">
        <v>1999</v>
      </c>
      <c r="N19">
        <f t="shared" si="1"/>
        <v>3</v>
      </c>
      <c r="O19">
        <f t="shared" si="0"/>
        <v>0</v>
      </c>
      <c r="P19" t="s">
        <v>20</v>
      </c>
      <c r="Q19">
        <v>0</v>
      </c>
      <c r="R19">
        <v>0</v>
      </c>
      <c r="S19">
        <v>5</v>
      </c>
      <c r="T19">
        <v>1</v>
      </c>
    </row>
    <row r="20" spans="1:20">
      <c r="A20" t="s">
        <v>37</v>
      </c>
      <c r="B20">
        <v>367</v>
      </c>
      <c r="C20">
        <v>1</v>
      </c>
      <c r="D20">
        <v>4</v>
      </c>
      <c r="E20">
        <v>1</v>
      </c>
      <c r="F20">
        <v>0</v>
      </c>
      <c r="G20">
        <v>1</v>
      </c>
      <c r="H20">
        <v>0</v>
      </c>
      <c r="I20">
        <v>0</v>
      </c>
      <c r="J20">
        <v>0</v>
      </c>
      <c r="K20">
        <v>0</v>
      </c>
      <c r="L20">
        <v>2007</v>
      </c>
      <c r="M20">
        <v>2015</v>
      </c>
      <c r="N20">
        <f t="shared" si="1"/>
        <v>8</v>
      </c>
      <c r="O20">
        <f t="shared" si="0"/>
        <v>0</v>
      </c>
      <c r="P20" t="s">
        <v>20</v>
      </c>
      <c r="Q20">
        <v>0</v>
      </c>
      <c r="R20">
        <v>0</v>
      </c>
      <c r="S20">
        <v>5</v>
      </c>
      <c r="T20">
        <v>1</v>
      </c>
    </row>
    <row r="21" spans="1:20">
      <c r="A21" t="s">
        <v>38</v>
      </c>
      <c r="B21">
        <v>523</v>
      </c>
      <c r="C21">
        <v>0</v>
      </c>
      <c r="D21">
        <v>1</v>
      </c>
      <c r="E21">
        <v>0</v>
      </c>
      <c r="F21">
        <v>0</v>
      </c>
      <c r="G21">
        <v>1</v>
      </c>
      <c r="H21">
        <v>0</v>
      </c>
      <c r="I21">
        <v>1</v>
      </c>
      <c r="J21">
        <v>0</v>
      </c>
      <c r="K21">
        <v>0</v>
      </c>
      <c r="L21">
        <v>2007</v>
      </c>
      <c r="M21">
        <v>2009</v>
      </c>
      <c r="N21">
        <f t="shared" si="1"/>
        <v>2</v>
      </c>
      <c r="O21">
        <f t="shared" si="0"/>
        <v>0</v>
      </c>
      <c r="P21">
        <v>0</v>
      </c>
      <c r="Q21">
        <v>0</v>
      </c>
      <c r="R21">
        <v>0</v>
      </c>
      <c r="S21">
        <v>1</v>
      </c>
      <c r="T21">
        <v>0</v>
      </c>
    </row>
    <row r="22" spans="1:20">
      <c r="A22" t="s">
        <v>39</v>
      </c>
      <c r="B22">
        <v>529</v>
      </c>
      <c r="C22">
        <v>1</v>
      </c>
      <c r="D22">
        <v>4</v>
      </c>
      <c r="E22">
        <v>0</v>
      </c>
      <c r="F22">
        <v>0</v>
      </c>
      <c r="G22">
        <v>2</v>
      </c>
      <c r="H22">
        <v>0</v>
      </c>
      <c r="I22">
        <v>1</v>
      </c>
      <c r="J22">
        <v>1</v>
      </c>
      <c r="K22">
        <v>0</v>
      </c>
      <c r="L22">
        <v>1982</v>
      </c>
      <c r="M22">
        <v>2024</v>
      </c>
      <c r="N22">
        <f t="shared" si="1"/>
        <v>42</v>
      </c>
      <c r="O22">
        <f t="shared" si="0"/>
        <v>1</v>
      </c>
      <c r="P22">
        <v>0</v>
      </c>
      <c r="Q22">
        <v>0</v>
      </c>
      <c r="R22">
        <v>0</v>
      </c>
      <c r="S22">
        <v>1</v>
      </c>
      <c r="T22">
        <v>0</v>
      </c>
    </row>
    <row r="23" spans="1:20">
      <c r="A23" t="s">
        <v>40</v>
      </c>
      <c r="B23">
        <v>562</v>
      </c>
      <c r="C23">
        <v>1</v>
      </c>
      <c r="D23">
        <v>3</v>
      </c>
      <c r="E23">
        <v>0</v>
      </c>
      <c r="F23">
        <v>0</v>
      </c>
      <c r="G23">
        <v>2</v>
      </c>
      <c r="H23">
        <v>0</v>
      </c>
      <c r="I23">
        <v>1</v>
      </c>
      <c r="J23">
        <v>0</v>
      </c>
      <c r="K23">
        <v>0</v>
      </c>
      <c r="L23">
        <v>2007</v>
      </c>
      <c r="M23">
        <v>2009</v>
      </c>
      <c r="N23">
        <f t="shared" si="1"/>
        <v>2</v>
      </c>
      <c r="O23">
        <f t="shared" si="0"/>
        <v>0</v>
      </c>
      <c r="P23">
        <v>0</v>
      </c>
      <c r="Q23">
        <v>0</v>
      </c>
      <c r="R23">
        <v>0</v>
      </c>
      <c r="S23">
        <v>1</v>
      </c>
      <c r="T23">
        <v>0</v>
      </c>
    </row>
    <row r="24" spans="1:20">
      <c r="A24" t="s">
        <v>41</v>
      </c>
      <c r="B24">
        <v>543</v>
      </c>
      <c r="C24" t="s">
        <v>20</v>
      </c>
      <c r="D24">
        <v>4</v>
      </c>
      <c r="E24">
        <v>0</v>
      </c>
      <c r="F24">
        <v>0</v>
      </c>
      <c r="G24">
        <v>2</v>
      </c>
      <c r="H24">
        <v>0</v>
      </c>
      <c r="I24">
        <v>1</v>
      </c>
      <c r="J24">
        <v>0</v>
      </c>
      <c r="K24">
        <v>0</v>
      </c>
      <c r="L24">
        <v>1994</v>
      </c>
      <c r="M24">
        <v>1998</v>
      </c>
      <c r="N24">
        <f t="shared" si="1"/>
        <v>4</v>
      </c>
      <c r="O24">
        <f t="shared" si="0"/>
        <v>0</v>
      </c>
      <c r="P24">
        <v>0</v>
      </c>
      <c r="Q24">
        <v>0</v>
      </c>
      <c r="R24">
        <v>0</v>
      </c>
      <c r="S24">
        <v>1</v>
      </c>
      <c r="T24">
        <v>0</v>
      </c>
    </row>
    <row r="25" spans="1:20">
      <c r="A25" t="s">
        <v>42</v>
      </c>
      <c r="B25">
        <v>524</v>
      </c>
      <c r="C25">
        <v>1</v>
      </c>
      <c r="D25">
        <v>4</v>
      </c>
      <c r="E25">
        <v>0</v>
      </c>
      <c r="F25">
        <v>0</v>
      </c>
      <c r="G25">
        <v>2</v>
      </c>
      <c r="H25">
        <v>0</v>
      </c>
      <c r="I25">
        <v>1</v>
      </c>
      <c r="J25">
        <v>0</v>
      </c>
      <c r="K25">
        <v>0</v>
      </c>
      <c r="L25">
        <v>1991</v>
      </c>
      <c r="M25">
        <v>2000</v>
      </c>
      <c r="N25">
        <f t="shared" si="1"/>
        <v>9</v>
      </c>
      <c r="O25">
        <f t="shared" si="0"/>
        <v>0</v>
      </c>
      <c r="P25">
        <v>0</v>
      </c>
      <c r="Q25" t="s">
        <v>20</v>
      </c>
      <c r="R25" t="s">
        <v>20</v>
      </c>
      <c r="S25">
        <v>1</v>
      </c>
      <c r="T25">
        <v>0</v>
      </c>
    </row>
    <row r="26" spans="1:20">
      <c r="A26" t="s">
        <v>43</v>
      </c>
      <c r="B26">
        <v>555</v>
      </c>
      <c r="C26">
        <v>1</v>
      </c>
      <c r="D26">
        <v>0</v>
      </c>
      <c r="E26" t="s">
        <v>20</v>
      </c>
      <c r="F26" t="s">
        <v>20</v>
      </c>
      <c r="G26">
        <v>1</v>
      </c>
      <c r="H26">
        <v>1</v>
      </c>
      <c r="I26">
        <v>1</v>
      </c>
      <c r="J26">
        <v>0</v>
      </c>
      <c r="K26">
        <v>0</v>
      </c>
      <c r="L26">
        <v>2002</v>
      </c>
      <c r="M26">
        <v>2003</v>
      </c>
      <c r="N26">
        <f t="shared" si="1"/>
        <v>1</v>
      </c>
      <c r="O26">
        <f t="shared" si="0"/>
        <v>0</v>
      </c>
      <c r="P26">
        <v>0</v>
      </c>
      <c r="Q26">
        <v>0</v>
      </c>
      <c r="R26">
        <v>0</v>
      </c>
      <c r="S26">
        <v>1</v>
      </c>
      <c r="T26">
        <v>0</v>
      </c>
    </row>
    <row r="27" spans="1:20">
      <c r="A27" t="s">
        <v>44</v>
      </c>
      <c r="B27">
        <v>556</v>
      </c>
      <c r="C27">
        <v>1</v>
      </c>
      <c r="D27">
        <v>3</v>
      </c>
      <c r="E27">
        <v>0</v>
      </c>
      <c r="F27">
        <v>0</v>
      </c>
      <c r="G27">
        <v>3</v>
      </c>
      <c r="H27">
        <v>1</v>
      </c>
      <c r="I27">
        <v>1</v>
      </c>
      <c r="J27">
        <v>1</v>
      </c>
      <c r="K27">
        <v>1</v>
      </c>
      <c r="L27">
        <v>2000</v>
      </c>
      <c r="M27">
        <v>2005</v>
      </c>
      <c r="N27">
        <f t="shared" si="1"/>
        <v>5</v>
      </c>
      <c r="O27">
        <f t="shared" si="0"/>
        <v>0</v>
      </c>
      <c r="P27">
        <v>1</v>
      </c>
      <c r="Q27">
        <v>0</v>
      </c>
      <c r="R27">
        <v>0</v>
      </c>
      <c r="S27">
        <v>1</v>
      </c>
      <c r="T27">
        <v>0</v>
      </c>
    </row>
    <row r="28" spans="1:20">
      <c r="A28" t="s">
        <v>45</v>
      </c>
      <c r="B28">
        <v>557</v>
      </c>
      <c r="C28">
        <v>1</v>
      </c>
      <c r="D28">
        <v>0</v>
      </c>
      <c r="E28" t="s">
        <v>20</v>
      </c>
      <c r="F28" t="s">
        <v>20</v>
      </c>
      <c r="G28">
        <v>1</v>
      </c>
      <c r="H28">
        <v>1</v>
      </c>
      <c r="I28">
        <v>1</v>
      </c>
      <c r="J28">
        <v>1</v>
      </c>
      <c r="K28">
        <v>1</v>
      </c>
      <c r="L28">
        <v>2002</v>
      </c>
      <c r="M28">
        <v>2003</v>
      </c>
      <c r="N28">
        <f t="shared" si="1"/>
        <v>1</v>
      </c>
      <c r="O28">
        <f t="shared" si="0"/>
        <v>0</v>
      </c>
      <c r="P28">
        <v>1</v>
      </c>
      <c r="Q28">
        <v>0</v>
      </c>
      <c r="R28">
        <v>0</v>
      </c>
      <c r="S28">
        <v>1</v>
      </c>
      <c r="T28">
        <v>0</v>
      </c>
    </row>
    <row r="29" spans="1:20">
      <c r="A29" t="s">
        <v>46</v>
      </c>
      <c r="B29">
        <v>507</v>
      </c>
      <c r="C29">
        <v>1</v>
      </c>
      <c r="D29">
        <v>1</v>
      </c>
      <c r="E29">
        <v>0</v>
      </c>
      <c r="F29">
        <v>0</v>
      </c>
      <c r="G29">
        <v>5</v>
      </c>
      <c r="H29">
        <v>1</v>
      </c>
      <c r="I29">
        <v>1</v>
      </c>
      <c r="J29">
        <v>1</v>
      </c>
      <c r="K29">
        <v>0</v>
      </c>
      <c r="L29">
        <v>1989</v>
      </c>
      <c r="M29">
        <v>1996</v>
      </c>
      <c r="N29">
        <f t="shared" si="1"/>
        <v>7</v>
      </c>
      <c r="O29">
        <f t="shared" si="0"/>
        <v>0</v>
      </c>
      <c r="P29" t="s">
        <v>20</v>
      </c>
      <c r="Q29">
        <v>0</v>
      </c>
      <c r="R29">
        <v>0</v>
      </c>
      <c r="S29">
        <v>1</v>
      </c>
      <c r="T29">
        <v>0</v>
      </c>
    </row>
    <row r="30" spans="1:20">
      <c r="A30" t="s">
        <v>47</v>
      </c>
      <c r="B30">
        <v>509</v>
      </c>
      <c r="C30">
        <v>0</v>
      </c>
      <c r="D30">
        <v>2</v>
      </c>
      <c r="E30">
        <v>0</v>
      </c>
      <c r="F30">
        <v>0</v>
      </c>
      <c r="G30">
        <v>2</v>
      </c>
      <c r="H30">
        <v>1</v>
      </c>
      <c r="I30">
        <v>0</v>
      </c>
      <c r="J30">
        <v>1</v>
      </c>
      <c r="K30">
        <v>1</v>
      </c>
      <c r="L30">
        <v>1999</v>
      </c>
      <c r="M30">
        <v>2003</v>
      </c>
      <c r="N30">
        <f t="shared" si="1"/>
        <v>4</v>
      </c>
      <c r="O30">
        <f t="shared" si="0"/>
        <v>0</v>
      </c>
      <c r="P30">
        <v>1</v>
      </c>
      <c r="Q30">
        <v>0</v>
      </c>
      <c r="R30">
        <v>0</v>
      </c>
      <c r="S30">
        <v>1</v>
      </c>
      <c r="T30">
        <v>0</v>
      </c>
    </row>
    <row r="31" spans="1:20">
      <c r="A31" t="s">
        <v>48</v>
      </c>
      <c r="B31">
        <v>508</v>
      </c>
      <c r="C31">
        <v>1</v>
      </c>
      <c r="D31">
        <v>1</v>
      </c>
      <c r="E31">
        <v>0</v>
      </c>
      <c r="F31">
        <v>0</v>
      </c>
      <c r="G31">
        <v>4</v>
      </c>
      <c r="H31">
        <v>1</v>
      </c>
      <c r="I31">
        <v>0</v>
      </c>
      <c r="J31">
        <v>0</v>
      </c>
      <c r="K31">
        <v>0</v>
      </c>
      <c r="L31">
        <v>1990</v>
      </c>
      <c r="M31">
        <v>1992</v>
      </c>
      <c r="N31">
        <f t="shared" si="1"/>
        <v>2</v>
      </c>
      <c r="O31">
        <f t="shared" si="0"/>
        <v>0</v>
      </c>
      <c r="P31">
        <v>0</v>
      </c>
      <c r="Q31">
        <v>0</v>
      </c>
      <c r="R31">
        <v>0</v>
      </c>
      <c r="S31">
        <v>1</v>
      </c>
      <c r="T31">
        <v>0</v>
      </c>
    </row>
    <row r="32" spans="1:20">
      <c r="A32" t="s">
        <v>49</v>
      </c>
      <c r="B32">
        <v>532</v>
      </c>
      <c r="C32">
        <v>1</v>
      </c>
      <c r="D32">
        <v>1</v>
      </c>
      <c r="E32">
        <v>0</v>
      </c>
      <c r="F32">
        <v>0</v>
      </c>
      <c r="G32">
        <v>2</v>
      </c>
      <c r="H32">
        <v>1</v>
      </c>
      <c r="I32">
        <v>0</v>
      </c>
      <c r="J32">
        <v>1</v>
      </c>
      <c r="K32">
        <v>1</v>
      </c>
      <c r="L32">
        <v>1991</v>
      </c>
      <c r="M32">
        <v>2002</v>
      </c>
      <c r="N32">
        <f t="shared" si="1"/>
        <v>11</v>
      </c>
      <c r="O32">
        <f t="shared" si="0"/>
        <v>0</v>
      </c>
      <c r="P32">
        <v>1</v>
      </c>
      <c r="Q32">
        <v>1</v>
      </c>
      <c r="R32">
        <v>1</v>
      </c>
      <c r="S32">
        <v>1</v>
      </c>
      <c r="T32">
        <v>0</v>
      </c>
    </row>
    <row r="33" spans="1:20">
      <c r="A33" t="s">
        <v>50</v>
      </c>
      <c r="B33">
        <v>559</v>
      </c>
      <c r="C33">
        <v>0</v>
      </c>
      <c r="D33">
        <v>3</v>
      </c>
      <c r="E33">
        <v>1</v>
      </c>
      <c r="F33">
        <v>0</v>
      </c>
      <c r="G33">
        <v>2</v>
      </c>
      <c r="H33">
        <v>0</v>
      </c>
      <c r="I33">
        <v>0</v>
      </c>
      <c r="J33">
        <v>0</v>
      </c>
      <c r="K33">
        <v>0</v>
      </c>
      <c r="L33">
        <v>2002</v>
      </c>
      <c r="M33">
        <v>2024</v>
      </c>
      <c r="N33">
        <f t="shared" si="1"/>
        <v>22</v>
      </c>
      <c r="O33">
        <f t="shared" si="0"/>
        <v>1</v>
      </c>
      <c r="P33">
        <v>0</v>
      </c>
      <c r="Q33">
        <v>0</v>
      </c>
      <c r="R33">
        <v>0</v>
      </c>
      <c r="S33">
        <v>1</v>
      </c>
      <c r="T33">
        <v>1</v>
      </c>
    </row>
    <row r="34" spans="1:20">
      <c r="A34" t="s">
        <v>51</v>
      </c>
      <c r="B34">
        <v>560</v>
      </c>
      <c r="C34">
        <v>0</v>
      </c>
      <c r="D34">
        <v>4</v>
      </c>
      <c r="E34">
        <v>0</v>
      </c>
      <c r="F34">
        <v>0</v>
      </c>
      <c r="G34">
        <v>2</v>
      </c>
      <c r="H34">
        <v>0</v>
      </c>
      <c r="I34">
        <v>0</v>
      </c>
      <c r="J34">
        <v>0</v>
      </c>
      <c r="K34">
        <v>0</v>
      </c>
      <c r="L34">
        <v>2003</v>
      </c>
      <c r="M34">
        <v>2004</v>
      </c>
      <c r="N34">
        <f t="shared" si="1"/>
        <v>1</v>
      </c>
      <c r="O34">
        <f t="shared" ref="O34:O65" si="2">IF(M34=2024,1,IF(M34&lt;2024,0))</f>
        <v>0</v>
      </c>
      <c r="P34">
        <v>0</v>
      </c>
      <c r="Q34" t="s">
        <v>20</v>
      </c>
      <c r="R34" t="s">
        <v>20</v>
      </c>
      <c r="S34">
        <v>1</v>
      </c>
      <c r="T34">
        <v>0</v>
      </c>
    </row>
    <row r="35" spans="1:20">
      <c r="A35" t="s">
        <v>52</v>
      </c>
      <c r="B35">
        <v>1051</v>
      </c>
      <c r="C35">
        <v>1</v>
      </c>
      <c r="D35">
        <v>2</v>
      </c>
      <c r="E35">
        <v>1</v>
      </c>
      <c r="F35">
        <v>0</v>
      </c>
      <c r="G35">
        <v>1</v>
      </c>
      <c r="H35">
        <v>1</v>
      </c>
      <c r="I35">
        <v>0</v>
      </c>
      <c r="J35">
        <v>1</v>
      </c>
      <c r="K35">
        <v>1</v>
      </c>
      <c r="L35">
        <v>2002</v>
      </c>
      <c r="M35">
        <v>2024</v>
      </c>
      <c r="N35">
        <f t="shared" si="1"/>
        <v>22</v>
      </c>
      <c r="O35">
        <f t="shared" si="2"/>
        <v>1</v>
      </c>
      <c r="P35">
        <v>1</v>
      </c>
      <c r="Q35">
        <v>0</v>
      </c>
      <c r="R35">
        <v>1</v>
      </c>
      <c r="S35">
        <v>1</v>
      </c>
      <c r="T35">
        <v>1</v>
      </c>
    </row>
    <row r="36" spans="1:20">
      <c r="A36" t="s">
        <v>53</v>
      </c>
      <c r="B36">
        <v>1053</v>
      </c>
      <c r="C36">
        <v>1</v>
      </c>
      <c r="D36">
        <v>3</v>
      </c>
      <c r="E36">
        <v>0</v>
      </c>
      <c r="F36">
        <v>0</v>
      </c>
      <c r="G36">
        <v>3</v>
      </c>
      <c r="H36">
        <v>0</v>
      </c>
      <c r="I36">
        <v>1</v>
      </c>
      <c r="J36">
        <v>1</v>
      </c>
      <c r="K36">
        <v>0</v>
      </c>
      <c r="L36">
        <v>2008</v>
      </c>
      <c r="M36">
        <v>2011</v>
      </c>
      <c r="N36">
        <f t="shared" si="1"/>
        <v>3</v>
      </c>
      <c r="O36">
        <f t="shared" si="2"/>
        <v>0</v>
      </c>
      <c r="P36">
        <v>0</v>
      </c>
      <c r="Q36">
        <v>0</v>
      </c>
      <c r="R36">
        <v>0</v>
      </c>
      <c r="S36">
        <v>1</v>
      </c>
      <c r="T36">
        <v>0</v>
      </c>
    </row>
    <row r="37" spans="1:20">
      <c r="A37" t="s">
        <v>54</v>
      </c>
      <c r="B37">
        <v>554</v>
      </c>
      <c r="C37">
        <v>0</v>
      </c>
      <c r="D37">
        <v>1</v>
      </c>
      <c r="E37">
        <v>1</v>
      </c>
      <c r="F37">
        <v>0</v>
      </c>
      <c r="G37">
        <v>2</v>
      </c>
      <c r="H37">
        <v>0</v>
      </c>
      <c r="I37">
        <v>1</v>
      </c>
      <c r="J37">
        <v>1</v>
      </c>
      <c r="K37">
        <v>1</v>
      </c>
      <c r="L37">
        <v>2006</v>
      </c>
      <c r="M37">
        <v>2012</v>
      </c>
      <c r="N37">
        <f t="shared" si="1"/>
        <v>6</v>
      </c>
      <c r="O37">
        <f t="shared" si="2"/>
        <v>0</v>
      </c>
      <c r="P37" t="s">
        <v>20</v>
      </c>
      <c r="Q37">
        <v>0</v>
      </c>
      <c r="R37">
        <v>0</v>
      </c>
      <c r="S37">
        <v>1</v>
      </c>
      <c r="T37">
        <v>0</v>
      </c>
    </row>
    <row r="38" spans="1:20">
      <c r="A38" t="s">
        <v>55</v>
      </c>
      <c r="B38">
        <v>454</v>
      </c>
      <c r="C38">
        <v>0</v>
      </c>
      <c r="D38">
        <v>3</v>
      </c>
      <c r="E38">
        <v>0</v>
      </c>
      <c r="F38">
        <v>0</v>
      </c>
      <c r="G38">
        <v>2</v>
      </c>
      <c r="H38">
        <v>0</v>
      </c>
      <c r="I38">
        <v>0</v>
      </c>
      <c r="J38">
        <v>0</v>
      </c>
      <c r="K38">
        <v>0</v>
      </c>
      <c r="L38">
        <v>2005</v>
      </c>
      <c r="M38">
        <v>2006</v>
      </c>
      <c r="N38">
        <f t="shared" ref="N38:N91" si="3">M38-L38</f>
        <v>1</v>
      </c>
      <c r="O38">
        <f t="shared" si="2"/>
        <v>0</v>
      </c>
      <c r="P38">
        <v>0</v>
      </c>
      <c r="Q38">
        <v>0</v>
      </c>
      <c r="R38">
        <v>0</v>
      </c>
      <c r="S38">
        <v>1</v>
      </c>
      <c r="T38">
        <v>0</v>
      </c>
    </row>
    <row r="39" spans="1:20">
      <c r="A39" t="s">
        <v>56</v>
      </c>
      <c r="B39">
        <v>453</v>
      </c>
      <c r="C39">
        <v>0</v>
      </c>
      <c r="D39">
        <v>3</v>
      </c>
      <c r="E39">
        <v>0</v>
      </c>
      <c r="F39">
        <v>0</v>
      </c>
      <c r="G39">
        <v>2</v>
      </c>
      <c r="H39">
        <v>0</v>
      </c>
      <c r="I39">
        <v>1</v>
      </c>
      <c r="J39">
        <v>1</v>
      </c>
      <c r="K39">
        <v>0</v>
      </c>
      <c r="L39">
        <v>2005</v>
      </c>
      <c r="M39">
        <v>2024</v>
      </c>
      <c r="N39">
        <f t="shared" si="3"/>
        <v>19</v>
      </c>
      <c r="O39">
        <f t="shared" si="2"/>
        <v>1</v>
      </c>
      <c r="P39">
        <v>0</v>
      </c>
      <c r="Q39">
        <v>0</v>
      </c>
      <c r="R39">
        <v>0</v>
      </c>
      <c r="S39">
        <v>1</v>
      </c>
      <c r="T39">
        <v>0</v>
      </c>
    </row>
    <row r="40" spans="1:20">
      <c r="A40" t="s">
        <v>57</v>
      </c>
      <c r="B40">
        <v>716</v>
      </c>
      <c r="C40">
        <v>0</v>
      </c>
      <c r="D40">
        <v>0</v>
      </c>
      <c r="E40" t="s">
        <v>20</v>
      </c>
      <c r="F40" t="s">
        <v>20</v>
      </c>
      <c r="G40">
        <v>2</v>
      </c>
      <c r="H40">
        <v>0</v>
      </c>
      <c r="I40" t="s">
        <v>20</v>
      </c>
      <c r="J40">
        <v>0</v>
      </c>
      <c r="K40">
        <v>0</v>
      </c>
      <c r="L40">
        <v>2008</v>
      </c>
      <c r="M40">
        <v>2008</v>
      </c>
      <c r="N40">
        <f t="shared" si="3"/>
        <v>0</v>
      </c>
      <c r="O40">
        <f t="shared" si="2"/>
        <v>0</v>
      </c>
      <c r="P40">
        <v>0</v>
      </c>
      <c r="Q40">
        <v>0</v>
      </c>
      <c r="R40">
        <v>0</v>
      </c>
      <c r="S40">
        <v>1</v>
      </c>
      <c r="T40">
        <v>0</v>
      </c>
    </row>
    <row r="41" spans="1:20">
      <c r="A41" t="s">
        <v>58</v>
      </c>
      <c r="B41">
        <v>451</v>
      </c>
      <c r="C41">
        <v>0</v>
      </c>
      <c r="D41">
        <v>3</v>
      </c>
      <c r="E41">
        <v>0</v>
      </c>
      <c r="F41">
        <v>0</v>
      </c>
      <c r="G41">
        <v>1</v>
      </c>
      <c r="H41">
        <v>0</v>
      </c>
      <c r="I41">
        <v>1</v>
      </c>
      <c r="J41">
        <v>0</v>
      </c>
      <c r="K41">
        <v>0</v>
      </c>
      <c r="L41">
        <v>1994</v>
      </c>
      <c r="M41">
        <v>1998</v>
      </c>
      <c r="N41">
        <f t="shared" si="3"/>
        <v>4</v>
      </c>
      <c r="O41">
        <f t="shared" si="2"/>
        <v>0</v>
      </c>
      <c r="P41">
        <v>0</v>
      </c>
      <c r="Q41">
        <v>0</v>
      </c>
      <c r="R41">
        <v>0</v>
      </c>
      <c r="S41">
        <v>1</v>
      </c>
      <c r="T41">
        <v>0</v>
      </c>
    </row>
    <row r="42" spans="1:20">
      <c r="A42" t="s">
        <v>59</v>
      </c>
      <c r="B42">
        <v>448</v>
      </c>
      <c r="C42">
        <v>0</v>
      </c>
      <c r="D42">
        <v>3</v>
      </c>
      <c r="E42">
        <v>0</v>
      </c>
      <c r="F42">
        <v>0</v>
      </c>
      <c r="G42">
        <v>2</v>
      </c>
      <c r="H42">
        <v>0</v>
      </c>
      <c r="I42">
        <v>1</v>
      </c>
      <c r="J42">
        <v>0</v>
      </c>
      <c r="K42">
        <v>0</v>
      </c>
      <c r="L42">
        <v>1991</v>
      </c>
      <c r="M42">
        <v>1994</v>
      </c>
      <c r="N42">
        <f t="shared" si="3"/>
        <v>3</v>
      </c>
      <c r="O42">
        <f t="shared" si="2"/>
        <v>0</v>
      </c>
      <c r="P42">
        <v>0</v>
      </c>
      <c r="Q42">
        <v>0</v>
      </c>
      <c r="R42">
        <v>0</v>
      </c>
      <c r="S42">
        <v>1</v>
      </c>
      <c r="T42">
        <v>0</v>
      </c>
    </row>
    <row r="43" spans="1:20">
      <c r="A43" t="s">
        <v>60</v>
      </c>
      <c r="B43">
        <v>456</v>
      </c>
      <c r="C43">
        <v>0</v>
      </c>
      <c r="D43">
        <v>0</v>
      </c>
      <c r="E43" t="s">
        <v>20</v>
      </c>
      <c r="F43" t="s">
        <v>20</v>
      </c>
      <c r="G43">
        <v>2</v>
      </c>
      <c r="H43">
        <v>0</v>
      </c>
      <c r="I43">
        <v>1</v>
      </c>
      <c r="J43">
        <v>0</v>
      </c>
      <c r="K43">
        <v>0</v>
      </c>
      <c r="L43">
        <v>2006</v>
      </c>
      <c r="M43">
        <v>2007</v>
      </c>
      <c r="N43">
        <f t="shared" si="3"/>
        <v>1</v>
      </c>
      <c r="O43">
        <f t="shared" si="2"/>
        <v>0</v>
      </c>
      <c r="P43">
        <v>0</v>
      </c>
      <c r="Q43">
        <v>0</v>
      </c>
      <c r="R43">
        <v>0</v>
      </c>
      <c r="S43">
        <v>1</v>
      </c>
      <c r="T43">
        <v>0</v>
      </c>
    </row>
    <row r="44" spans="1:20">
      <c r="A44" t="s">
        <v>61</v>
      </c>
      <c r="B44">
        <v>446</v>
      </c>
      <c r="C44">
        <v>0</v>
      </c>
      <c r="D44">
        <v>2</v>
      </c>
      <c r="E44">
        <v>0</v>
      </c>
      <c r="F44">
        <v>0</v>
      </c>
      <c r="G44">
        <v>1</v>
      </c>
      <c r="H44">
        <v>0</v>
      </c>
      <c r="I44">
        <v>1</v>
      </c>
      <c r="J44">
        <v>0</v>
      </c>
      <c r="K44">
        <v>0</v>
      </c>
      <c r="L44">
        <v>1991</v>
      </c>
      <c r="M44">
        <v>1997</v>
      </c>
      <c r="N44">
        <f t="shared" si="3"/>
        <v>6</v>
      </c>
      <c r="O44">
        <f t="shared" si="2"/>
        <v>0</v>
      </c>
      <c r="P44">
        <v>0</v>
      </c>
      <c r="Q44">
        <v>0</v>
      </c>
      <c r="R44">
        <v>0</v>
      </c>
      <c r="S44">
        <v>1</v>
      </c>
      <c r="T44">
        <v>0</v>
      </c>
    </row>
    <row r="45" spans="1:20">
      <c r="A45" t="s">
        <v>62</v>
      </c>
      <c r="B45">
        <v>1069</v>
      </c>
      <c r="C45">
        <v>0</v>
      </c>
      <c r="D45">
        <v>3</v>
      </c>
      <c r="E45">
        <v>0</v>
      </c>
      <c r="F45">
        <v>0</v>
      </c>
      <c r="G45">
        <v>2</v>
      </c>
      <c r="H45">
        <v>0</v>
      </c>
      <c r="I45">
        <v>0</v>
      </c>
      <c r="J45">
        <v>0</v>
      </c>
      <c r="K45">
        <v>0</v>
      </c>
      <c r="L45">
        <v>2009</v>
      </c>
      <c r="M45">
        <v>2024</v>
      </c>
      <c r="N45">
        <f t="shared" si="3"/>
        <v>15</v>
      </c>
      <c r="O45">
        <f t="shared" si="2"/>
        <v>1</v>
      </c>
      <c r="P45">
        <v>0</v>
      </c>
      <c r="Q45">
        <v>0</v>
      </c>
      <c r="R45">
        <v>0</v>
      </c>
      <c r="S45">
        <v>1</v>
      </c>
      <c r="T45">
        <v>0</v>
      </c>
    </row>
    <row r="46" spans="1:20">
      <c r="A46" t="s">
        <v>63</v>
      </c>
      <c r="B46">
        <v>452</v>
      </c>
      <c r="C46">
        <v>0</v>
      </c>
      <c r="D46">
        <v>3</v>
      </c>
      <c r="E46">
        <v>0</v>
      </c>
      <c r="F46">
        <v>0</v>
      </c>
      <c r="G46">
        <v>1</v>
      </c>
      <c r="H46">
        <v>0</v>
      </c>
      <c r="I46">
        <v>1</v>
      </c>
      <c r="J46">
        <v>0</v>
      </c>
      <c r="K46">
        <v>0</v>
      </c>
      <c r="L46">
        <v>1998</v>
      </c>
      <c r="M46">
        <v>2024</v>
      </c>
      <c r="N46">
        <f t="shared" si="3"/>
        <v>26</v>
      </c>
      <c r="O46">
        <f t="shared" si="2"/>
        <v>1</v>
      </c>
      <c r="P46">
        <v>0</v>
      </c>
      <c r="Q46">
        <v>0</v>
      </c>
      <c r="R46">
        <v>0</v>
      </c>
      <c r="S46">
        <v>1</v>
      </c>
      <c r="T46">
        <v>0</v>
      </c>
    </row>
    <row r="47" spans="1:20">
      <c r="A47" t="s">
        <v>64</v>
      </c>
      <c r="B47">
        <v>547</v>
      </c>
      <c r="C47">
        <v>0</v>
      </c>
      <c r="D47">
        <v>0</v>
      </c>
      <c r="E47" t="s">
        <v>20</v>
      </c>
      <c r="F47" t="s">
        <v>20</v>
      </c>
      <c r="G47">
        <v>2</v>
      </c>
      <c r="H47">
        <v>0</v>
      </c>
      <c r="I47">
        <v>1</v>
      </c>
      <c r="J47">
        <v>0</v>
      </c>
      <c r="K47">
        <v>0</v>
      </c>
      <c r="L47">
        <v>1994</v>
      </c>
      <c r="M47">
        <v>2024</v>
      </c>
      <c r="N47">
        <f t="shared" si="3"/>
        <v>30</v>
      </c>
      <c r="O47">
        <f t="shared" si="2"/>
        <v>1</v>
      </c>
      <c r="P47">
        <v>0</v>
      </c>
      <c r="Q47">
        <v>0</v>
      </c>
      <c r="R47">
        <v>0</v>
      </c>
      <c r="S47">
        <v>1</v>
      </c>
      <c r="T47">
        <v>0</v>
      </c>
    </row>
    <row r="48" spans="1:20">
      <c r="A48" t="s">
        <v>65</v>
      </c>
      <c r="B48">
        <v>546</v>
      </c>
      <c r="C48">
        <v>0</v>
      </c>
      <c r="D48">
        <v>2</v>
      </c>
      <c r="E48">
        <v>0</v>
      </c>
      <c r="F48">
        <v>0</v>
      </c>
      <c r="G48">
        <v>2</v>
      </c>
      <c r="H48">
        <v>0</v>
      </c>
      <c r="I48">
        <v>1</v>
      </c>
      <c r="J48">
        <v>1</v>
      </c>
      <c r="K48">
        <v>0</v>
      </c>
      <c r="L48">
        <v>1993</v>
      </c>
      <c r="M48">
        <v>2017</v>
      </c>
      <c r="N48">
        <f t="shared" si="3"/>
        <v>24</v>
      </c>
      <c r="O48">
        <f t="shared" si="2"/>
        <v>0</v>
      </c>
      <c r="P48">
        <v>0</v>
      </c>
      <c r="Q48">
        <v>0</v>
      </c>
      <c r="R48">
        <v>0</v>
      </c>
      <c r="S48">
        <v>1</v>
      </c>
      <c r="T48">
        <v>0</v>
      </c>
    </row>
    <row r="49" spans="1:20">
      <c r="A49" t="s">
        <v>66</v>
      </c>
      <c r="B49">
        <v>548</v>
      </c>
      <c r="C49">
        <v>0</v>
      </c>
      <c r="D49">
        <v>4</v>
      </c>
      <c r="E49">
        <v>0</v>
      </c>
      <c r="F49">
        <v>0</v>
      </c>
      <c r="G49">
        <v>2</v>
      </c>
      <c r="H49">
        <v>0</v>
      </c>
      <c r="I49">
        <v>0</v>
      </c>
      <c r="J49">
        <v>0</v>
      </c>
      <c r="K49">
        <v>0</v>
      </c>
      <c r="L49">
        <v>1997</v>
      </c>
      <c r="M49">
        <v>2003</v>
      </c>
      <c r="N49">
        <f t="shared" si="3"/>
        <v>6</v>
      </c>
      <c r="O49">
        <f t="shared" si="2"/>
        <v>0</v>
      </c>
      <c r="P49">
        <v>0</v>
      </c>
      <c r="Q49">
        <v>0</v>
      </c>
      <c r="R49">
        <v>0</v>
      </c>
      <c r="S49">
        <v>1</v>
      </c>
      <c r="T49">
        <v>0</v>
      </c>
    </row>
    <row r="50" spans="1:20">
      <c r="A50" t="s">
        <v>67</v>
      </c>
      <c r="B50">
        <v>422</v>
      </c>
      <c r="C50">
        <v>1</v>
      </c>
      <c r="D50">
        <v>0</v>
      </c>
      <c r="E50" t="s">
        <v>20</v>
      </c>
      <c r="F50" t="s">
        <v>20</v>
      </c>
      <c r="G50">
        <v>3</v>
      </c>
      <c r="H50">
        <v>0</v>
      </c>
      <c r="I50">
        <v>1</v>
      </c>
      <c r="J50">
        <v>0</v>
      </c>
      <c r="K50">
        <v>0</v>
      </c>
      <c r="L50">
        <v>1996</v>
      </c>
      <c r="M50">
        <v>1997</v>
      </c>
      <c r="N50">
        <f t="shared" si="3"/>
        <v>1</v>
      </c>
      <c r="O50">
        <f t="shared" si="2"/>
        <v>0</v>
      </c>
      <c r="P50">
        <v>0</v>
      </c>
      <c r="Q50">
        <v>0</v>
      </c>
      <c r="R50">
        <v>0</v>
      </c>
      <c r="S50">
        <v>1</v>
      </c>
      <c r="T50">
        <v>0</v>
      </c>
    </row>
    <row r="51" spans="1:20">
      <c r="A51" t="s">
        <v>68</v>
      </c>
      <c r="B51">
        <v>424</v>
      </c>
      <c r="C51">
        <v>1</v>
      </c>
      <c r="D51">
        <v>0</v>
      </c>
      <c r="E51" t="s">
        <v>20</v>
      </c>
      <c r="F51" t="s">
        <v>20</v>
      </c>
      <c r="G51">
        <v>3</v>
      </c>
      <c r="H51">
        <v>1</v>
      </c>
      <c r="I51">
        <v>1</v>
      </c>
      <c r="J51">
        <v>1</v>
      </c>
      <c r="K51">
        <v>1</v>
      </c>
      <c r="L51">
        <v>1998</v>
      </c>
      <c r="M51">
        <v>2003</v>
      </c>
      <c r="N51">
        <f t="shared" si="3"/>
        <v>5</v>
      </c>
      <c r="O51">
        <f t="shared" si="2"/>
        <v>0</v>
      </c>
      <c r="P51">
        <v>1</v>
      </c>
      <c r="Q51">
        <v>0</v>
      </c>
      <c r="R51">
        <v>0</v>
      </c>
      <c r="S51">
        <v>1</v>
      </c>
      <c r="T51">
        <v>0</v>
      </c>
    </row>
    <row r="52" spans="1:20">
      <c r="A52" t="s">
        <v>69</v>
      </c>
      <c r="B52">
        <v>423</v>
      </c>
      <c r="C52">
        <v>1</v>
      </c>
      <c r="D52">
        <v>2</v>
      </c>
      <c r="E52">
        <v>0</v>
      </c>
      <c r="F52">
        <v>0</v>
      </c>
      <c r="G52">
        <v>2</v>
      </c>
      <c r="H52">
        <v>1</v>
      </c>
      <c r="I52">
        <v>1</v>
      </c>
      <c r="J52">
        <v>1</v>
      </c>
      <c r="K52">
        <v>1</v>
      </c>
      <c r="L52">
        <v>1998</v>
      </c>
      <c r="M52">
        <v>2003</v>
      </c>
      <c r="N52">
        <f t="shared" si="3"/>
        <v>5</v>
      </c>
      <c r="O52">
        <f t="shared" si="2"/>
        <v>0</v>
      </c>
      <c r="P52">
        <v>0</v>
      </c>
      <c r="Q52">
        <v>0</v>
      </c>
      <c r="R52">
        <v>0</v>
      </c>
      <c r="S52">
        <v>1</v>
      </c>
      <c r="T52">
        <v>0</v>
      </c>
    </row>
    <row r="53" spans="1:20">
      <c r="A53" t="s">
        <v>70</v>
      </c>
      <c r="B53">
        <v>426</v>
      </c>
      <c r="C53">
        <v>1</v>
      </c>
      <c r="D53">
        <v>1</v>
      </c>
      <c r="E53">
        <v>0</v>
      </c>
      <c r="F53">
        <v>0</v>
      </c>
      <c r="G53">
        <v>2</v>
      </c>
      <c r="H53">
        <v>1</v>
      </c>
      <c r="I53">
        <v>1</v>
      </c>
      <c r="J53">
        <v>1</v>
      </c>
      <c r="K53">
        <v>1</v>
      </c>
      <c r="L53">
        <v>2005</v>
      </c>
      <c r="M53">
        <v>2009</v>
      </c>
      <c r="N53">
        <f t="shared" si="3"/>
        <v>4</v>
      </c>
      <c r="O53">
        <f t="shared" si="2"/>
        <v>0</v>
      </c>
      <c r="P53">
        <v>0</v>
      </c>
      <c r="Q53">
        <v>0</v>
      </c>
      <c r="R53">
        <v>0</v>
      </c>
      <c r="S53">
        <v>1</v>
      </c>
      <c r="T53">
        <v>0</v>
      </c>
    </row>
    <row r="54" spans="1:20">
      <c r="A54" t="s">
        <v>71</v>
      </c>
      <c r="B54">
        <v>489</v>
      </c>
      <c r="C54">
        <v>0</v>
      </c>
      <c r="D54">
        <v>2</v>
      </c>
      <c r="E54">
        <v>1</v>
      </c>
      <c r="F54">
        <v>0</v>
      </c>
      <c r="G54">
        <v>2</v>
      </c>
      <c r="H54">
        <v>1</v>
      </c>
      <c r="I54">
        <v>1</v>
      </c>
      <c r="J54">
        <v>1</v>
      </c>
      <c r="K54">
        <v>0</v>
      </c>
      <c r="L54">
        <v>1996</v>
      </c>
      <c r="M54">
        <v>2019</v>
      </c>
      <c r="N54">
        <f t="shared" si="3"/>
        <v>23</v>
      </c>
      <c r="O54">
        <f t="shared" si="2"/>
        <v>0</v>
      </c>
      <c r="P54">
        <v>1</v>
      </c>
      <c r="Q54">
        <v>0</v>
      </c>
      <c r="R54">
        <v>1</v>
      </c>
      <c r="S54">
        <v>1</v>
      </c>
      <c r="T54">
        <v>1</v>
      </c>
    </row>
    <row r="55" spans="1:20">
      <c r="A55" t="s">
        <v>72</v>
      </c>
      <c r="B55">
        <v>486</v>
      </c>
      <c r="C55">
        <v>0</v>
      </c>
      <c r="D55">
        <v>1</v>
      </c>
      <c r="E55">
        <v>0</v>
      </c>
      <c r="F55">
        <v>0</v>
      </c>
      <c r="G55">
        <v>2</v>
      </c>
      <c r="H55">
        <v>0</v>
      </c>
      <c r="I55">
        <v>1</v>
      </c>
      <c r="J55">
        <v>1</v>
      </c>
      <c r="K55">
        <v>0</v>
      </c>
      <c r="L55">
        <v>1987</v>
      </c>
      <c r="M55">
        <v>1992</v>
      </c>
      <c r="N55">
        <f t="shared" si="3"/>
        <v>5</v>
      </c>
      <c r="O55">
        <f t="shared" si="2"/>
        <v>0</v>
      </c>
      <c r="P55">
        <v>0</v>
      </c>
      <c r="Q55">
        <v>0</v>
      </c>
      <c r="R55">
        <v>0</v>
      </c>
      <c r="S55">
        <v>1</v>
      </c>
      <c r="T55">
        <v>0</v>
      </c>
    </row>
    <row r="56" spans="1:20">
      <c r="A56" t="s">
        <v>73</v>
      </c>
      <c r="B56">
        <v>491</v>
      </c>
      <c r="C56">
        <v>0</v>
      </c>
      <c r="D56">
        <v>3</v>
      </c>
      <c r="E56">
        <v>1</v>
      </c>
      <c r="F56">
        <v>0</v>
      </c>
      <c r="G56">
        <v>2</v>
      </c>
      <c r="H56">
        <v>1</v>
      </c>
      <c r="I56">
        <v>1</v>
      </c>
      <c r="J56">
        <v>0</v>
      </c>
      <c r="K56">
        <v>0</v>
      </c>
      <c r="L56">
        <v>1996</v>
      </c>
      <c r="M56">
        <v>2002</v>
      </c>
      <c r="N56">
        <f t="shared" si="3"/>
        <v>6</v>
      </c>
      <c r="O56">
        <f t="shared" si="2"/>
        <v>0</v>
      </c>
      <c r="P56">
        <v>0</v>
      </c>
      <c r="Q56">
        <v>0</v>
      </c>
      <c r="R56">
        <v>0</v>
      </c>
      <c r="S56">
        <v>1</v>
      </c>
      <c r="T56">
        <v>0</v>
      </c>
    </row>
    <row r="57" spans="1:20">
      <c r="A57" t="s">
        <v>74</v>
      </c>
      <c r="B57">
        <v>490</v>
      </c>
      <c r="C57">
        <v>0</v>
      </c>
      <c r="D57">
        <v>0</v>
      </c>
      <c r="E57" t="s">
        <v>20</v>
      </c>
      <c r="F57" t="s">
        <v>20</v>
      </c>
      <c r="G57">
        <v>1</v>
      </c>
      <c r="H57">
        <v>1</v>
      </c>
      <c r="I57">
        <v>1</v>
      </c>
      <c r="J57">
        <v>0</v>
      </c>
      <c r="K57">
        <v>0</v>
      </c>
      <c r="L57">
        <v>1994</v>
      </c>
      <c r="M57">
        <v>1997</v>
      </c>
      <c r="N57">
        <f t="shared" si="3"/>
        <v>3</v>
      </c>
      <c r="O57">
        <f t="shared" si="2"/>
        <v>0</v>
      </c>
      <c r="P57">
        <v>0</v>
      </c>
      <c r="Q57">
        <v>0</v>
      </c>
      <c r="R57">
        <v>0</v>
      </c>
      <c r="S57">
        <v>1</v>
      </c>
      <c r="T57">
        <v>0</v>
      </c>
    </row>
    <row r="58" spans="1:20">
      <c r="A58" t="s">
        <v>75</v>
      </c>
      <c r="B58">
        <v>432</v>
      </c>
      <c r="C58">
        <v>0</v>
      </c>
      <c r="D58">
        <v>4</v>
      </c>
      <c r="E58">
        <v>0</v>
      </c>
      <c r="F58">
        <v>0</v>
      </c>
      <c r="G58">
        <v>2</v>
      </c>
      <c r="H58">
        <v>1</v>
      </c>
      <c r="I58">
        <v>1</v>
      </c>
      <c r="J58">
        <v>1</v>
      </c>
      <c r="K58">
        <v>1</v>
      </c>
      <c r="L58">
        <v>1991</v>
      </c>
      <c r="M58">
        <v>2006</v>
      </c>
      <c r="N58">
        <f t="shared" si="3"/>
        <v>15</v>
      </c>
      <c r="O58">
        <f t="shared" si="2"/>
        <v>0</v>
      </c>
      <c r="P58">
        <v>0</v>
      </c>
      <c r="Q58">
        <v>0</v>
      </c>
      <c r="R58">
        <v>0</v>
      </c>
      <c r="S58">
        <v>1</v>
      </c>
      <c r="T58">
        <v>0</v>
      </c>
    </row>
    <row r="59" spans="1:20">
      <c r="A59" t="s">
        <v>76</v>
      </c>
      <c r="B59">
        <v>434</v>
      </c>
      <c r="C59">
        <v>0</v>
      </c>
      <c r="D59">
        <v>3</v>
      </c>
      <c r="E59">
        <v>0</v>
      </c>
      <c r="F59">
        <v>0</v>
      </c>
      <c r="G59">
        <v>2</v>
      </c>
      <c r="H59">
        <v>1</v>
      </c>
      <c r="I59">
        <v>1</v>
      </c>
      <c r="J59">
        <v>1</v>
      </c>
      <c r="K59">
        <v>1</v>
      </c>
      <c r="L59">
        <v>1998</v>
      </c>
      <c r="M59">
        <v>2005</v>
      </c>
      <c r="N59">
        <f t="shared" si="3"/>
        <v>7</v>
      </c>
      <c r="O59">
        <f t="shared" si="2"/>
        <v>0</v>
      </c>
      <c r="P59">
        <v>1</v>
      </c>
      <c r="Q59">
        <v>0</v>
      </c>
      <c r="R59">
        <v>0</v>
      </c>
      <c r="S59">
        <v>1</v>
      </c>
      <c r="T59">
        <v>0</v>
      </c>
    </row>
    <row r="60" spans="1:20">
      <c r="A60" t="s">
        <v>77</v>
      </c>
      <c r="B60">
        <v>433</v>
      </c>
      <c r="C60" t="s">
        <v>20</v>
      </c>
      <c r="D60">
        <v>4</v>
      </c>
      <c r="E60">
        <v>0</v>
      </c>
      <c r="F60">
        <v>0</v>
      </c>
      <c r="G60">
        <v>1</v>
      </c>
      <c r="H60">
        <v>1</v>
      </c>
      <c r="I60">
        <v>1</v>
      </c>
      <c r="J60">
        <v>0</v>
      </c>
      <c r="K60">
        <v>0</v>
      </c>
      <c r="L60">
        <v>1989</v>
      </c>
      <c r="M60">
        <v>2005</v>
      </c>
      <c r="N60">
        <f t="shared" si="3"/>
        <v>16</v>
      </c>
      <c r="O60">
        <f t="shared" si="2"/>
        <v>0</v>
      </c>
      <c r="P60">
        <v>0</v>
      </c>
      <c r="Q60">
        <v>0</v>
      </c>
      <c r="R60">
        <v>0</v>
      </c>
      <c r="S60">
        <v>1</v>
      </c>
      <c r="T60">
        <v>0</v>
      </c>
    </row>
    <row r="61" spans="1:20">
      <c r="A61" t="s">
        <v>78</v>
      </c>
      <c r="B61">
        <v>1128</v>
      </c>
      <c r="C61" t="s">
        <v>20</v>
      </c>
      <c r="D61">
        <v>3</v>
      </c>
      <c r="E61">
        <v>0</v>
      </c>
      <c r="F61">
        <v>0</v>
      </c>
      <c r="G61">
        <v>2</v>
      </c>
      <c r="H61">
        <v>1</v>
      </c>
      <c r="I61">
        <v>1</v>
      </c>
      <c r="J61">
        <v>0</v>
      </c>
      <c r="K61">
        <v>0</v>
      </c>
      <c r="L61">
        <v>1996</v>
      </c>
      <c r="M61">
        <v>2000</v>
      </c>
      <c r="N61">
        <f t="shared" si="3"/>
        <v>4</v>
      </c>
      <c r="O61">
        <f t="shared" si="2"/>
        <v>0</v>
      </c>
      <c r="P61">
        <v>0</v>
      </c>
      <c r="Q61">
        <v>0</v>
      </c>
      <c r="R61">
        <v>0</v>
      </c>
      <c r="S61">
        <v>1</v>
      </c>
      <c r="T61">
        <v>0</v>
      </c>
    </row>
    <row r="62" spans="1:20">
      <c r="A62" t="s">
        <v>79</v>
      </c>
      <c r="B62">
        <v>527</v>
      </c>
      <c r="C62">
        <v>0</v>
      </c>
      <c r="D62">
        <v>4</v>
      </c>
      <c r="E62">
        <v>0</v>
      </c>
      <c r="F62">
        <v>0</v>
      </c>
      <c r="G62">
        <v>4</v>
      </c>
      <c r="H62">
        <v>0</v>
      </c>
      <c r="I62">
        <v>1</v>
      </c>
      <c r="J62">
        <v>1</v>
      </c>
      <c r="K62">
        <v>0</v>
      </c>
      <c r="L62">
        <v>1987</v>
      </c>
      <c r="M62">
        <v>1994</v>
      </c>
      <c r="N62">
        <f t="shared" si="3"/>
        <v>7</v>
      </c>
      <c r="O62">
        <f t="shared" si="2"/>
        <v>0</v>
      </c>
      <c r="P62">
        <v>0</v>
      </c>
      <c r="Q62">
        <v>0</v>
      </c>
      <c r="R62">
        <v>0</v>
      </c>
      <c r="S62">
        <v>1</v>
      </c>
      <c r="T62">
        <v>0</v>
      </c>
    </row>
    <row r="63" spans="1:20">
      <c r="A63" t="s">
        <v>80</v>
      </c>
      <c r="B63">
        <v>528</v>
      </c>
      <c r="C63">
        <v>0</v>
      </c>
      <c r="D63">
        <v>0</v>
      </c>
      <c r="E63" t="s">
        <v>20</v>
      </c>
      <c r="F63" t="s">
        <v>20</v>
      </c>
      <c r="G63">
        <v>2</v>
      </c>
      <c r="H63">
        <v>1</v>
      </c>
      <c r="I63">
        <v>1</v>
      </c>
      <c r="J63">
        <v>1</v>
      </c>
      <c r="K63">
        <v>0</v>
      </c>
      <c r="L63">
        <v>2001</v>
      </c>
      <c r="M63">
        <v>2024</v>
      </c>
      <c r="N63">
        <f t="shared" si="3"/>
        <v>23</v>
      </c>
      <c r="O63">
        <f t="shared" si="2"/>
        <v>1</v>
      </c>
      <c r="P63">
        <v>1</v>
      </c>
      <c r="Q63">
        <v>0</v>
      </c>
      <c r="R63">
        <v>1</v>
      </c>
      <c r="S63">
        <v>1</v>
      </c>
      <c r="T63">
        <v>0</v>
      </c>
    </row>
    <row r="64" spans="1:20">
      <c r="A64" t="s">
        <v>81</v>
      </c>
      <c r="B64">
        <v>500</v>
      </c>
      <c r="C64">
        <v>1</v>
      </c>
      <c r="D64">
        <v>3</v>
      </c>
      <c r="E64">
        <v>1</v>
      </c>
      <c r="F64">
        <v>0</v>
      </c>
      <c r="G64">
        <v>2</v>
      </c>
      <c r="H64">
        <v>0</v>
      </c>
      <c r="I64">
        <v>1</v>
      </c>
      <c r="J64">
        <v>0</v>
      </c>
      <c r="K64">
        <v>0</v>
      </c>
      <c r="L64">
        <v>1981</v>
      </c>
      <c r="M64">
        <v>1991</v>
      </c>
      <c r="N64">
        <f t="shared" si="3"/>
        <v>10</v>
      </c>
      <c r="O64">
        <f t="shared" si="2"/>
        <v>0</v>
      </c>
      <c r="P64">
        <v>0</v>
      </c>
      <c r="Q64">
        <v>0</v>
      </c>
      <c r="R64">
        <v>0</v>
      </c>
      <c r="S64">
        <v>1</v>
      </c>
      <c r="T64">
        <v>0</v>
      </c>
    </row>
    <row r="65" spans="1:20">
      <c r="A65" t="s">
        <v>82</v>
      </c>
      <c r="B65">
        <v>504</v>
      </c>
      <c r="C65">
        <v>0</v>
      </c>
      <c r="D65">
        <v>3</v>
      </c>
      <c r="E65">
        <v>0</v>
      </c>
      <c r="F65">
        <v>0</v>
      </c>
      <c r="G65">
        <v>2</v>
      </c>
      <c r="H65">
        <v>0</v>
      </c>
      <c r="I65">
        <v>1</v>
      </c>
      <c r="J65">
        <v>0</v>
      </c>
      <c r="K65">
        <v>0</v>
      </c>
      <c r="L65">
        <v>2001</v>
      </c>
      <c r="M65">
        <v>2004</v>
      </c>
      <c r="N65">
        <f t="shared" si="3"/>
        <v>3</v>
      </c>
      <c r="O65">
        <f t="shared" si="2"/>
        <v>0</v>
      </c>
      <c r="P65" t="s">
        <v>20</v>
      </c>
      <c r="Q65">
        <v>0</v>
      </c>
      <c r="R65">
        <v>0</v>
      </c>
      <c r="S65">
        <v>1</v>
      </c>
      <c r="T65">
        <v>0</v>
      </c>
    </row>
    <row r="66" spans="1:20">
      <c r="A66" t="s">
        <v>83</v>
      </c>
      <c r="B66">
        <v>501</v>
      </c>
      <c r="C66">
        <v>0</v>
      </c>
      <c r="D66">
        <v>3</v>
      </c>
      <c r="E66">
        <v>0</v>
      </c>
      <c r="F66">
        <v>0</v>
      </c>
      <c r="G66">
        <v>2</v>
      </c>
      <c r="H66">
        <v>0</v>
      </c>
      <c r="I66">
        <v>1</v>
      </c>
      <c r="J66">
        <v>0</v>
      </c>
      <c r="K66">
        <v>0</v>
      </c>
      <c r="L66">
        <v>1989</v>
      </c>
      <c r="M66">
        <v>2004</v>
      </c>
      <c r="N66">
        <f t="shared" si="3"/>
        <v>15</v>
      </c>
      <c r="O66">
        <f t="shared" ref="O66:O97" si="4">IF(M66=2024,1,IF(M66&lt;2024,0))</f>
        <v>0</v>
      </c>
      <c r="P66">
        <v>0</v>
      </c>
      <c r="Q66">
        <v>0</v>
      </c>
      <c r="R66">
        <v>0</v>
      </c>
      <c r="S66">
        <v>1</v>
      </c>
      <c r="T66">
        <v>0</v>
      </c>
    </row>
    <row r="67" spans="1:20">
      <c r="A67" t="s">
        <v>84</v>
      </c>
      <c r="B67">
        <v>503</v>
      </c>
      <c r="C67">
        <v>1</v>
      </c>
      <c r="D67">
        <v>3</v>
      </c>
      <c r="E67">
        <v>0</v>
      </c>
      <c r="F67">
        <v>0</v>
      </c>
      <c r="G67">
        <v>3</v>
      </c>
      <c r="H67">
        <v>1</v>
      </c>
      <c r="I67">
        <v>1</v>
      </c>
      <c r="J67">
        <v>1</v>
      </c>
      <c r="K67">
        <v>1</v>
      </c>
      <c r="L67">
        <v>1991</v>
      </c>
      <c r="M67">
        <v>2002</v>
      </c>
      <c r="N67">
        <f t="shared" si="3"/>
        <v>11</v>
      </c>
      <c r="O67">
        <f t="shared" si="4"/>
        <v>0</v>
      </c>
      <c r="P67">
        <v>0</v>
      </c>
      <c r="Q67">
        <v>0</v>
      </c>
      <c r="R67">
        <v>0</v>
      </c>
      <c r="S67">
        <v>1</v>
      </c>
      <c r="T67">
        <v>0</v>
      </c>
    </row>
    <row r="68" spans="1:20">
      <c r="A68" t="s">
        <v>85</v>
      </c>
      <c r="B68">
        <v>1004</v>
      </c>
      <c r="C68">
        <v>0</v>
      </c>
      <c r="D68">
        <v>4</v>
      </c>
      <c r="E68">
        <v>1</v>
      </c>
      <c r="F68">
        <v>0</v>
      </c>
      <c r="G68">
        <v>2</v>
      </c>
      <c r="H68">
        <v>1</v>
      </c>
      <c r="I68">
        <v>1</v>
      </c>
      <c r="J68">
        <v>0</v>
      </c>
      <c r="K68">
        <v>0</v>
      </c>
      <c r="L68">
        <v>2009</v>
      </c>
      <c r="M68">
        <v>2014</v>
      </c>
      <c r="N68">
        <f t="shared" si="3"/>
        <v>5</v>
      </c>
      <c r="O68">
        <f t="shared" si="4"/>
        <v>0</v>
      </c>
      <c r="P68">
        <v>0</v>
      </c>
      <c r="Q68">
        <v>0</v>
      </c>
      <c r="R68">
        <v>0</v>
      </c>
      <c r="S68">
        <v>1</v>
      </c>
      <c r="T68">
        <v>1</v>
      </c>
    </row>
    <row r="69" spans="1:20">
      <c r="A69" t="s">
        <v>86</v>
      </c>
      <c r="B69">
        <v>502</v>
      </c>
      <c r="C69">
        <v>1</v>
      </c>
      <c r="D69">
        <v>3</v>
      </c>
      <c r="E69">
        <v>0</v>
      </c>
      <c r="F69">
        <v>0</v>
      </c>
      <c r="G69">
        <v>1</v>
      </c>
      <c r="H69">
        <v>0</v>
      </c>
      <c r="I69">
        <v>1</v>
      </c>
      <c r="J69">
        <v>1</v>
      </c>
      <c r="K69">
        <v>0</v>
      </c>
      <c r="L69">
        <v>1989</v>
      </c>
      <c r="M69">
        <v>2000</v>
      </c>
      <c r="N69">
        <f t="shared" si="3"/>
        <v>11</v>
      </c>
      <c r="O69">
        <f t="shared" si="4"/>
        <v>0</v>
      </c>
      <c r="P69">
        <v>0</v>
      </c>
      <c r="Q69">
        <v>0</v>
      </c>
      <c r="R69">
        <v>0</v>
      </c>
      <c r="S69">
        <v>1</v>
      </c>
      <c r="T69">
        <v>0</v>
      </c>
    </row>
    <row r="70" spans="1:20">
      <c r="A70" t="s">
        <v>87</v>
      </c>
      <c r="B70">
        <v>717</v>
      </c>
      <c r="C70">
        <v>1</v>
      </c>
      <c r="D70">
        <v>2</v>
      </c>
      <c r="E70">
        <v>1</v>
      </c>
      <c r="F70">
        <v>0</v>
      </c>
      <c r="G70">
        <v>3</v>
      </c>
      <c r="H70">
        <v>1</v>
      </c>
      <c r="I70">
        <v>0</v>
      </c>
      <c r="J70">
        <v>1</v>
      </c>
      <c r="K70">
        <v>0</v>
      </c>
      <c r="L70">
        <v>2008</v>
      </c>
      <c r="M70">
        <v>2024</v>
      </c>
      <c r="N70">
        <f t="shared" si="3"/>
        <v>16</v>
      </c>
      <c r="O70">
        <f t="shared" si="4"/>
        <v>1</v>
      </c>
      <c r="P70">
        <v>1</v>
      </c>
      <c r="Q70">
        <v>0</v>
      </c>
      <c r="R70">
        <v>1</v>
      </c>
      <c r="S70">
        <v>1</v>
      </c>
      <c r="T70">
        <v>1</v>
      </c>
    </row>
    <row r="71" spans="1:20">
      <c r="A71" t="s">
        <v>88</v>
      </c>
      <c r="B71">
        <v>505</v>
      </c>
      <c r="C71">
        <v>0</v>
      </c>
      <c r="D71">
        <v>3</v>
      </c>
      <c r="E71">
        <v>1</v>
      </c>
      <c r="F71">
        <v>0</v>
      </c>
      <c r="G71">
        <v>2</v>
      </c>
      <c r="H71">
        <v>1</v>
      </c>
      <c r="I71">
        <v>1</v>
      </c>
      <c r="J71">
        <v>0</v>
      </c>
      <c r="K71">
        <v>0</v>
      </c>
      <c r="L71">
        <v>2004</v>
      </c>
      <c r="M71">
        <v>2009</v>
      </c>
      <c r="N71">
        <f t="shared" si="3"/>
        <v>5</v>
      </c>
      <c r="O71">
        <f t="shared" si="4"/>
        <v>0</v>
      </c>
      <c r="P71" t="s">
        <v>20</v>
      </c>
      <c r="Q71">
        <v>0</v>
      </c>
      <c r="R71">
        <v>0</v>
      </c>
      <c r="S71">
        <v>1</v>
      </c>
      <c r="T71">
        <v>1</v>
      </c>
    </row>
    <row r="72" spans="1:20">
      <c r="A72" t="s">
        <v>89</v>
      </c>
      <c r="B72">
        <v>530</v>
      </c>
      <c r="C72">
        <v>1</v>
      </c>
      <c r="D72">
        <v>4</v>
      </c>
      <c r="E72">
        <v>0</v>
      </c>
      <c r="F72">
        <v>0</v>
      </c>
      <c r="G72">
        <v>3</v>
      </c>
      <c r="H72">
        <v>0</v>
      </c>
      <c r="I72">
        <v>1</v>
      </c>
      <c r="J72">
        <v>1</v>
      </c>
      <c r="K72">
        <v>0</v>
      </c>
      <c r="L72">
        <v>1991</v>
      </c>
      <c r="M72">
        <v>1994</v>
      </c>
      <c r="N72">
        <f t="shared" si="3"/>
        <v>3</v>
      </c>
      <c r="O72">
        <f t="shared" si="4"/>
        <v>0</v>
      </c>
      <c r="P72" t="s">
        <v>20</v>
      </c>
      <c r="Q72">
        <v>0</v>
      </c>
      <c r="R72">
        <v>0</v>
      </c>
      <c r="S72">
        <v>1</v>
      </c>
      <c r="T72">
        <v>0</v>
      </c>
    </row>
    <row r="73" spans="1:20">
      <c r="A73" t="s">
        <v>90</v>
      </c>
      <c r="B73">
        <v>497</v>
      </c>
      <c r="C73">
        <v>0</v>
      </c>
      <c r="D73">
        <v>4</v>
      </c>
      <c r="E73">
        <v>0</v>
      </c>
      <c r="F73">
        <v>1</v>
      </c>
      <c r="G73">
        <v>1</v>
      </c>
      <c r="H73">
        <v>0</v>
      </c>
      <c r="I73">
        <v>1</v>
      </c>
      <c r="J73">
        <v>0</v>
      </c>
      <c r="K73">
        <v>0</v>
      </c>
      <c r="L73">
        <v>1984</v>
      </c>
      <c r="M73">
        <v>2024</v>
      </c>
      <c r="N73">
        <f t="shared" si="3"/>
        <v>40</v>
      </c>
      <c r="O73">
        <f t="shared" si="4"/>
        <v>1</v>
      </c>
      <c r="P73">
        <v>0</v>
      </c>
      <c r="Q73">
        <v>0</v>
      </c>
      <c r="R73">
        <v>0</v>
      </c>
      <c r="S73">
        <v>1</v>
      </c>
      <c r="T73">
        <v>0</v>
      </c>
    </row>
    <row r="74" spans="1:20">
      <c r="A74" t="s">
        <v>91</v>
      </c>
      <c r="B74">
        <v>416</v>
      </c>
      <c r="C74">
        <v>1</v>
      </c>
      <c r="D74">
        <v>4</v>
      </c>
      <c r="E74">
        <v>0</v>
      </c>
      <c r="F74">
        <v>1</v>
      </c>
      <c r="G74">
        <v>2</v>
      </c>
      <c r="H74">
        <v>1</v>
      </c>
      <c r="I74">
        <v>1</v>
      </c>
      <c r="J74">
        <v>0</v>
      </c>
      <c r="K74">
        <v>0</v>
      </c>
      <c r="L74">
        <v>1971</v>
      </c>
      <c r="M74">
        <v>1994</v>
      </c>
      <c r="N74">
        <f t="shared" si="3"/>
        <v>23</v>
      </c>
      <c r="O74">
        <f t="shared" si="4"/>
        <v>0</v>
      </c>
      <c r="P74">
        <v>0</v>
      </c>
      <c r="Q74">
        <v>0</v>
      </c>
      <c r="R74">
        <v>0</v>
      </c>
      <c r="S74">
        <v>1</v>
      </c>
      <c r="T74">
        <v>0</v>
      </c>
    </row>
    <row r="75" spans="1:20">
      <c r="A75" t="s">
        <v>92</v>
      </c>
      <c r="B75">
        <v>414</v>
      </c>
      <c r="C75">
        <v>1</v>
      </c>
      <c r="D75">
        <v>4</v>
      </c>
      <c r="E75">
        <v>0</v>
      </c>
      <c r="F75">
        <v>0</v>
      </c>
      <c r="G75">
        <v>2</v>
      </c>
      <c r="H75">
        <v>1</v>
      </c>
      <c r="I75">
        <v>1</v>
      </c>
      <c r="J75">
        <v>0</v>
      </c>
      <c r="K75">
        <v>0</v>
      </c>
      <c r="L75">
        <v>1988</v>
      </c>
      <c r="M75">
        <v>2019</v>
      </c>
      <c r="N75">
        <f t="shared" si="3"/>
        <v>31</v>
      </c>
      <c r="O75">
        <f t="shared" si="4"/>
        <v>0</v>
      </c>
      <c r="P75">
        <v>0</v>
      </c>
      <c r="Q75">
        <v>0</v>
      </c>
      <c r="R75">
        <v>0</v>
      </c>
      <c r="S75">
        <v>1</v>
      </c>
      <c r="T75">
        <v>0</v>
      </c>
    </row>
    <row r="76" spans="1:20">
      <c r="A76" t="s">
        <v>93</v>
      </c>
      <c r="B76">
        <v>542</v>
      </c>
      <c r="C76" t="s">
        <v>20</v>
      </c>
      <c r="D76">
        <v>3</v>
      </c>
      <c r="E76">
        <v>1</v>
      </c>
      <c r="F76">
        <v>0</v>
      </c>
      <c r="G76">
        <v>1</v>
      </c>
      <c r="H76">
        <v>0</v>
      </c>
      <c r="I76">
        <v>0</v>
      </c>
      <c r="J76">
        <v>0</v>
      </c>
      <c r="K76">
        <v>0</v>
      </c>
      <c r="L76">
        <v>1984</v>
      </c>
      <c r="M76">
        <v>1997</v>
      </c>
      <c r="N76">
        <f t="shared" si="3"/>
        <v>13</v>
      </c>
      <c r="O76">
        <f t="shared" si="4"/>
        <v>0</v>
      </c>
      <c r="P76">
        <v>0</v>
      </c>
      <c r="Q76">
        <v>0</v>
      </c>
      <c r="R76">
        <v>0</v>
      </c>
      <c r="S76">
        <v>1</v>
      </c>
      <c r="T76">
        <v>1</v>
      </c>
    </row>
    <row r="77" spans="1:20">
      <c r="A77" t="s">
        <v>94</v>
      </c>
      <c r="B77">
        <v>551</v>
      </c>
      <c r="C77">
        <v>1</v>
      </c>
      <c r="D77">
        <v>4</v>
      </c>
      <c r="E77">
        <v>0</v>
      </c>
      <c r="F77">
        <v>0</v>
      </c>
      <c r="G77">
        <v>2</v>
      </c>
      <c r="H77">
        <v>0</v>
      </c>
      <c r="I77">
        <v>1</v>
      </c>
      <c r="J77">
        <v>0</v>
      </c>
      <c r="K77">
        <v>0</v>
      </c>
      <c r="L77">
        <v>1973</v>
      </c>
      <c r="M77">
        <v>2018</v>
      </c>
      <c r="N77">
        <f t="shared" si="3"/>
        <v>45</v>
      </c>
      <c r="O77">
        <f t="shared" si="4"/>
        <v>0</v>
      </c>
      <c r="P77">
        <v>0</v>
      </c>
      <c r="Q77">
        <v>0</v>
      </c>
      <c r="R77">
        <v>0</v>
      </c>
      <c r="S77">
        <v>1</v>
      </c>
      <c r="T77">
        <v>0</v>
      </c>
    </row>
    <row r="78" spans="1:20">
      <c r="A78" t="s">
        <v>95</v>
      </c>
      <c r="B78">
        <v>520</v>
      </c>
      <c r="C78">
        <v>0</v>
      </c>
      <c r="D78">
        <v>4</v>
      </c>
      <c r="E78">
        <v>0</v>
      </c>
      <c r="F78">
        <v>0</v>
      </c>
      <c r="G78">
        <v>2</v>
      </c>
      <c r="H78">
        <v>0</v>
      </c>
      <c r="I78">
        <v>1</v>
      </c>
      <c r="J78">
        <v>0</v>
      </c>
      <c r="K78">
        <v>0</v>
      </c>
      <c r="L78">
        <v>1993</v>
      </c>
      <c r="M78">
        <v>2024</v>
      </c>
      <c r="N78">
        <f t="shared" si="3"/>
        <v>31</v>
      </c>
      <c r="O78">
        <f t="shared" si="4"/>
        <v>1</v>
      </c>
      <c r="P78">
        <v>0</v>
      </c>
      <c r="Q78">
        <v>0</v>
      </c>
      <c r="R78">
        <v>0</v>
      </c>
      <c r="S78">
        <v>1</v>
      </c>
      <c r="T78">
        <v>0</v>
      </c>
    </row>
    <row r="79" spans="1:20">
      <c r="A79" t="s">
        <v>96</v>
      </c>
      <c r="B79">
        <v>495</v>
      </c>
      <c r="C79">
        <v>0</v>
      </c>
      <c r="D79">
        <v>4</v>
      </c>
      <c r="E79">
        <v>1</v>
      </c>
      <c r="F79">
        <v>0</v>
      </c>
      <c r="G79">
        <v>1</v>
      </c>
      <c r="H79">
        <v>0</v>
      </c>
      <c r="I79">
        <v>0</v>
      </c>
      <c r="J79">
        <v>0</v>
      </c>
      <c r="K79">
        <v>0</v>
      </c>
      <c r="L79">
        <v>1993</v>
      </c>
      <c r="M79">
        <v>2003</v>
      </c>
      <c r="N79">
        <f t="shared" si="3"/>
        <v>10</v>
      </c>
      <c r="O79">
        <f t="shared" si="4"/>
        <v>0</v>
      </c>
      <c r="P79" t="s">
        <v>20</v>
      </c>
      <c r="Q79">
        <v>0</v>
      </c>
      <c r="R79">
        <v>0</v>
      </c>
      <c r="S79">
        <v>1</v>
      </c>
      <c r="T79">
        <v>1</v>
      </c>
    </row>
    <row r="80" spans="1:20">
      <c r="A80" t="s">
        <v>97</v>
      </c>
      <c r="B80">
        <v>541</v>
      </c>
      <c r="C80">
        <v>0</v>
      </c>
      <c r="D80">
        <v>4</v>
      </c>
      <c r="E80">
        <v>0</v>
      </c>
      <c r="F80">
        <v>0</v>
      </c>
      <c r="G80">
        <v>1</v>
      </c>
      <c r="H80">
        <v>0</v>
      </c>
      <c r="I80">
        <v>1</v>
      </c>
      <c r="J80">
        <v>0</v>
      </c>
      <c r="K80">
        <v>0</v>
      </c>
      <c r="L80">
        <v>1984</v>
      </c>
      <c r="M80">
        <v>2024</v>
      </c>
      <c r="N80">
        <f t="shared" si="3"/>
        <v>40</v>
      </c>
      <c r="O80">
        <f t="shared" si="4"/>
        <v>1</v>
      </c>
      <c r="P80">
        <v>0</v>
      </c>
      <c r="Q80" t="s">
        <v>20</v>
      </c>
      <c r="R80" t="s">
        <v>20</v>
      </c>
      <c r="S80">
        <v>1</v>
      </c>
      <c r="T80">
        <v>0</v>
      </c>
    </row>
    <row r="81" spans="1:20">
      <c r="A81" t="s">
        <v>98</v>
      </c>
      <c r="B81">
        <v>567</v>
      </c>
      <c r="C81">
        <v>1</v>
      </c>
      <c r="D81">
        <v>3</v>
      </c>
      <c r="E81">
        <v>0</v>
      </c>
      <c r="F81">
        <v>0</v>
      </c>
      <c r="G81">
        <v>3</v>
      </c>
      <c r="H81">
        <v>1</v>
      </c>
      <c r="I81">
        <v>0</v>
      </c>
      <c r="J81">
        <v>1</v>
      </c>
      <c r="K81">
        <v>0</v>
      </c>
      <c r="L81">
        <v>1966</v>
      </c>
      <c r="M81">
        <v>2002</v>
      </c>
      <c r="N81">
        <f t="shared" si="3"/>
        <v>36</v>
      </c>
      <c r="O81">
        <f t="shared" si="4"/>
        <v>0</v>
      </c>
      <c r="P81">
        <v>1</v>
      </c>
      <c r="Q81">
        <v>0</v>
      </c>
      <c r="R81">
        <v>1</v>
      </c>
      <c r="S81">
        <v>1</v>
      </c>
      <c r="T81">
        <v>0</v>
      </c>
    </row>
    <row r="82" spans="1:20">
      <c r="A82" t="s">
        <v>99</v>
      </c>
      <c r="B82">
        <v>540</v>
      </c>
      <c r="C82">
        <v>0</v>
      </c>
      <c r="D82">
        <v>4</v>
      </c>
      <c r="E82">
        <v>0</v>
      </c>
      <c r="F82">
        <v>0</v>
      </c>
      <c r="G82">
        <v>1</v>
      </c>
      <c r="H82">
        <v>0</v>
      </c>
      <c r="I82">
        <v>1</v>
      </c>
      <c r="J82">
        <v>0</v>
      </c>
      <c r="K82">
        <v>0</v>
      </c>
      <c r="L82">
        <v>1963</v>
      </c>
      <c r="M82">
        <v>2024</v>
      </c>
      <c r="N82">
        <f t="shared" si="3"/>
        <v>61</v>
      </c>
      <c r="O82">
        <f t="shared" si="4"/>
        <v>1</v>
      </c>
      <c r="P82" t="s">
        <v>20</v>
      </c>
      <c r="Q82">
        <v>0</v>
      </c>
      <c r="R82">
        <v>0</v>
      </c>
      <c r="S82">
        <v>1</v>
      </c>
      <c r="T82">
        <v>0</v>
      </c>
    </row>
    <row r="83" spans="1:20">
      <c r="A83" t="s">
        <v>100</v>
      </c>
      <c r="B83">
        <v>498</v>
      </c>
      <c r="C83">
        <v>1</v>
      </c>
      <c r="D83">
        <v>1</v>
      </c>
      <c r="E83">
        <v>0</v>
      </c>
      <c r="F83">
        <v>0</v>
      </c>
      <c r="G83">
        <v>3</v>
      </c>
      <c r="H83">
        <v>1</v>
      </c>
      <c r="I83">
        <v>1</v>
      </c>
      <c r="J83">
        <v>1</v>
      </c>
      <c r="K83">
        <v>0</v>
      </c>
      <c r="L83">
        <v>1976</v>
      </c>
      <c r="M83">
        <v>2021</v>
      </c>
      <c r="N83">
        <f t="shared" si="3"/>
        <v>45</v>
      </c>
      <c r="O83">
        <f t="shared" si="4"/>
        <v>0</v>
      </c>
      <c r="P83">
        <v>1</v>
      </c>
      <c r="Q83">
        <v>0</v>
      </c>
      <c r="R83">
        <v>1</v>
      </c>
      <c r="S83">
        <v>1</v>
      </c>
      <c r="T83">
        <v>0</v>
      </c>
    </row>
    <row r="84" spans="1:20">
      <c r="A84" t="s">
        <v>101</v>
      </c>
      <c r="B84">
        <v>563</v>
      </c>
      <c r="C84">
        <v>1</v>
      </c>
      <c r="D84">
        <v>4</v>
      </c>
      <c r="E84">
        <v>0</v>
      </c>
      <c r="F84">
        <v>0</v>
      </c>
      <c r="G84">
        <v>2</v>
      </c>
      <c r="H84">
        <v>1</v>
      </c>
      <c r="I84">
        <v>1</v>
      </c>
      <c r="J84">
        <v>0</v>
      </c>
      <c r="K84">
        <v>0</v>
      </c>
      <c r="L84">
        <v>1973</v>
      </c>
      <c r="M84">
        <v>2024</v>
      </c>
      <c r="N84">
        <f t="shared" si="3"/>
        <v>51</v>
      </c>
      <c r="O84">
        <f t="shared" si="4"/>
        <v>1</v>
      </c>
      <c r="P84">
        <v>1</v>
      </c>
      <c r="Q84">
        <v>0</v>
      </c>
      <c r="R84">
        <v>1</v>
      </c>
      <c r="S84">
        <v>1</v>
      </c>
      <c r="T84">
        <v>0</v>
      </c>
    </row>
    <row r="85" spans="1:20">
      <c r="A85" t="s">
        <v>102</v>
      </c>
      <c r="B85">
        <v>538</v>
      </c>
      <c r="C85">
        <v>0</v>
      </c>
      <c r="D85">
        <v>4</v>
      </c>
      <c r="E85">
        <v>1</v>
      </c>
      <c r="F85">
        <v>0</v>
      </c>
      <c r="G85">
        <v>1</v>
      </c>
      <c r="H85">
        <v>1</v>
      </c>
      <c r="I85">
        <v>0</v>
      </c>
      <c r="J85">
        <v>0</v>
      </c>
      <c r="K85">
        <v>0</v>
      </c>
      <c r="L85">
        <v>1992</v>
      </c>
      <c r="M85">
        <v>2004</v>
      </c>
      <c r="N85">
        <f t="shared" si="3"/>
        <v>12</v>
      </c>
      <c r="O85">
        <f t="shared" si="4"/>
        <v>0</v>
      </c>
      <c r="P85">
        <v>1</v>
      </c>
      <c r="Q85">
        <v>0</v>
      </c>
      <c r="R85">
        <v>0</v>
      </c>
      <c r="S85">
        <v>1</v>
      </c>
      <c r="T85">
        <v>1</v>
      </c>
    </row>
    <row r="86" spans="1:20">
      <c r="A86" t="s">
        <v>103</v>
      </c>
      <c r="B86">
        <v>536</v>
      </c>
      <c r="C86">
        <v>0</v>
      </c>
      <c r="D86">
        <v>4</v>
      </c>
      <c r="E86">
        <v>1</v>
      </c>
      <c r="F86">
        <v>0</v>
      </c>
      <c r="G86">
        <v>1</v>
      </c>
      <c r="H86">
        <v>1</v>
      </c>
      <c r="I86">
        <v>0</v>
      </c>
      <c r="J86">
        <v>0</v>
      </c>
      <c r="K86">
        <v>0</v>
      </c>
      <c r="L86">
        <v>1990</v>
      </c>
      <c r="M86">
        <v>1991</v>
      </c>
      <c r="N86">
        <f t="shared" si="3"/>
        <v>1</v>
      </c>
      <c r="O86">
        <f t="shared" si="4"/>
        <v>0</v>
      </c>
      <c r="P86">
        <v>1</v>
      </c>
      <c r="Q86">
        <v>0</v>
      </c>
      <c r="R86">
        <v>0</v>
      </c>
      <c r="S86">
        <v>1</v>
      </c>
      <c r="T86">
        <v>1</v>
      </c>
    </row>
    <row r="87" spans="1:20">
      <c r="A87" t="s">
        <v>104</v>
      </c>
      <c r="B87">
        <v>537</v>
      </c>
      <c r="C87" t="s">
        <v>20</v>
      </c>
      <c r="D87">
        <v>4</v>
      </c>
      <c r="E87">
        <v>1</v>
      </c>
      <c r="F87">
        <v>0</v>
      </c>
      <c r="G87">
        <v>2</v>
      </c>
      <c r="H87">
        <v>1</v>
      </c>
      <c r="I87">
        <v>0</v>
      </c>
      <c r="J87">
        <v>0</v>
      </c>
      <c r="K87">
        <v>0</v>
      </c>
      <c r="L87">
        <v>1989</v>
      </c>
      <c r="M87">
        <v>1997</v>
      </c>
      <c r="N87">
        <f t="shared" si="3"/>
        <v>8</v>
      </c>
      <c r="O87">
        <f t="shared" si="4"/>
        <v>0</v>
      </c>
      <c r="P87">
        <v>0</v>
      </c>
      <c r="Q87">
        <v>0</v>
      </c>
      <c r="R87">
        <v>0</v>
      </c>
      <c r="S87">
        <v>1</v>
      </c>
      <c r="T87">
        <v>1</v>
      </c>
    </row>
    <row r="88" spans="1:20">
      <c r="A88" t="s">
        <v>105</v>
      </c>
      <c r="B88">
        <v>539</v>
      </c>
      <c r="C88">
        <v>0</v>
      </c>
      <c r="D88">
        <v>3</v>
      </c>
      <c r="E88">
        <v>1</v>
      </c>
      <c r="F88">
        <v>0</v>
      </c>
      <c r="G88">
        <v>1</v>
      </c>
      <c r="H88">
        <v>0</v>
      </c>
      <c r="I88">
        <v>0</v>
      </c>
      <c r="J88">
        <v>1</v>
      </c>
      <c r="K88">
        <v>1</v>
      </c>
      <c r="L88">
        <v>1998</v>
      </c>
      <c r="M88">
        <v>2007</v>
      </c>
      <c r="N88">
        <f t="shared" si="3"/>
        <v>9</v>
      </c>
      <c r="O88">
        <f t="shared" si="4"/>
        <v>0</v>
      </c>
      <c r="P88">
        <v>1</v>
      </c>
      <c r="Q88">
        <v>0</v>
      </c>
      <c r="R88">
        <v>0</v>
      </c>
      <c r="S88">
        <v>1</v>
      </c>
      <c r="T88">
        <v>1</v>
      </c>
    </row>
    <row r="89" spans="1:20">
      <c r="A89" t="s">
        <v>106</v>
      </c>
      <c r="B89">
        <v>467</v>
      </c>
      <c r="C89" t="s">
        <v>20</v>
      </c>
      <c r="D89">
        <v>2</v>
      </c>
      <c r="E89">
        <v>0</v>
      </c>
      <c r="F89">
        <v>1</v>
      </c>
      <c r="G89">
        <v>1</v>
      </c>
      <c r="H89">
        <v>1</v>
      </c>
      <c r="I89">
        <v>0</v>
      </c>
      <c r="J89">
        <v>0</v>
      </c>
      <c r="K89">
        <v>0</v>
      </c>
      <c r="L89">
        <v>1989</v>
      </c>
      <c r="M89">
        <v>2024</v>
      </c>
      <c r="N89">
        <f t="shared" si="3"/>
        <v>35</v>
      </c>
      <c r="O89">
        <f t="shared" si="4"/>
        <v>1</v>
      </c>
      <c r="P89" t="s">
        <v>20</v>
      </c>
      <c r="Q89">
        <v>0</v>
      </c>
      <c r="R89">
        <v>0</v>
      </c>
      <c r="S89">
        <v>1</v>
      </c>
      <c r="T89">
        <v>0</v>
      </c>
    </row>
    <row r="90" spans="1:20">
      <c r="A90" t="s">
        <v>107</v>
      </c>
      <c r="B90">
        <v>470</v>
      </c>
      <c r="C90">
        <v>0</v>
      </c>
      <c r="D90">
        <v>3</v>
      </c>
      <c r="E90">
        <v>0</v>
      </c>
      <c r="F90">
        <v>0</v>
      </c>
      <c r="G90">
        <v>2</v>
      </c>
      <c r="H90">
        <v>1</v>
      </c>
      <c r="I90">
        <v>1</v>
      </c>
      <c r="J90">
        <v>0</v>
      </c>
      <c r="K90">
        <v>0</v>
      </c>
      <c r="L90">
        <v>2006</v>
      </c>
      <c r="M90">
        <v>2024</v>
      </c>
      <c r="N90">
        <f t="shared" si="3"/>
        <v>18</v>
      </c>
      <c r="O90">
        <f t="shared" si="4"/>
        <v>1</v>
      </c>
      <c r="P90">
        <v>0</v>
      </c>
      <c r="Q90">
        <v>0</v>
      </c>
      <c r="R90">
        <v>0</v>
      </c>
      <c r="S90">
        <v>1</v>
      </c>
      <c r="T90">
        <v>0</v>
      </c>
    </row>
    <row r="91" spans="1:20">
      <c r="A91" t="s">
        <v>108</v>
      </c>
      <c r="B91">
        <v>466</v>
      </c>
      <c r="C91">
        <v>0</v>
      </c>
      <c r="D91">
        <v>2</v>
      </c>
      <c r="E91">
        <v>0</v>
      </c>
      <c r="F91">
        <v>1</v>
      </c>
      <c r="G91">
        <v>2</v>
      </c>
      <c r="H91">
        <v>1</v>
      </c>
      <c r="I91">
        <v>0</v>
      </c>
      <c r="J91">
        <v>1</v>
      </c>
      <c r="K91">
        <v>0</v>
      </c>
      <c r="L91">
        <v>1983</v>
      </c>
      <c r="M91">
        <v>2024</v>
      </c>
      <c r="N91">
        <f t="shared" si="3"/>
        <v>41</v>
      </c>
      <c r="O91">
        <f t="shared" si="4"/>
        <v>1</v>
      </c>
      <c r="P91">
        <v>1</v>
      </c>
      <c r="Q91">
        <v>0</v>
      </c>
      <c r="R91">
        <v>0</v>
      </c>
      <c r="S91">
        <v>1</v>
      </c>
      <c r="T91">
        <v>0</v>
      </c>
    </row>
    <row r="92" spans="1:20">
      <c r="A92" t="s">
        <v>109</v>
      </c>
      <c r="B92">
        <v>469</v>
      </c>
      <c r="C92">
        <v>1</v>
      </c>
      <c r="D92">
        <v>4</v>
      </c>
      <c r="E92">
        <v>0</v>
      </c>
      <c r="F92">
        <v>0</v>
      </c>
      <c r="G92">
        <v>2</v>
      </c>
      <c r="H92">
        <v>1</v>
      </c>
      <c r="I92">
        <v>1</v>
      </c>
      <c r="J92">
        <v>1</v>
      </c>
      <c r="K92">
        <v>0</v>
      </c>
      <c r="L92">
        <v>2003</v>
      </c>
      <c r="M92">
        <v>2024</v>
      </c>
      <c r="N92">
        <f t="shared" ref="N92:N144" si="5">M92-L92</f>
        <v>21</v>
      </c>
      <c r="O92">
        <f t="shared" si="4"/>
        <v>1</v>
      </c>
      <c r="P92">
        <v>1</v>
      </c>
      <c r="Q92">
        <v>0</v>
      </c>
      <c r="R92">
        <v>0</v>
      </c>
      <c r="S92">
        <v>1</v>
      </c>
      <c r="T92">
        <v>0</v>
      </c>
    </row>
    <row r="93" spans="1:20">
      <c r="A93" t="s">
        <v>110</v>
      </c>
      <c r="B93">
        <v>1124</v>
      </c>
      <c r="C93">
        <v>1</v>
      </c>
      <c r="D93">
        <v>3</v>
      </c>
      <c r="E93">
        <v>0</v>
      </c>
      <c r="F93">
        <v>0</v>
      </c>
      <c r="G93">
        <v>2</v>
      </c>
      <c r="H93">
        <v>0</v>
      </c>
      <c r="I93">
        <v>1</v>
      </c>
      <c r="J93">
        <v>0</v>
      </c>
      <c r="K93">
        <v>0</v>
      </c>
      <c r="L93">
        <v>2000</v>
      </c>
      <c r="M93">
        <v>2003</v>
      </c>
      <c r="N93">
        <f t="shared" si="5"/>
        <v>3</v>
      </c>
      <c r="O93">
        <f t="shared" si="4"/>
        <v>0</v>
      </c>
      <c r="P93">
        <v>0</v>
      </c>
      <c r="Q93">
        <v>0</v>
      </c>
      <c r="R93">
        <v>0</v>
      </c>
      <c r="S93">
        <v>1</v>
      </c>
      <c r="T93">
        <v>0</v>
      </c>
    </row>
    <row r="94" spans="1:20">
      <c r="A94" t="s">
        <v>111</v>
      </c>
      <c r="B94">
        <v>471</v>
      </c>
      <c r="C94">
        <v>1</v>
      </c>
      <c r="D94">
        <v>4</v>
      </c>
      <c r="E94">
        <v>0</v>
      </c>
      <c r="F94">
        <v>0</v>
      </c>
      <c r="G94">
        <v>2</v>
      </c>
      <c r="H94">
        <v>1</v>
      </c>
      <c r="I94">
        <v>1</v>
      </c>
      <c r="J94">
        <v>1</v>
      </c>
      <c r="K94">
        <v>1</v>
      </c>
      <c r="L94">
        <v>2005</v>
      </c>
      <c r="M94">
        <v>2024</v>
      </c>
      <c r="N94">
        <f t="shared" si="5"/>
        <v>19</v>
      </c>
      <c r="O94">
        <f t="shared" si="4"/>
        <v>1</v>
      </c>
      <c r="P94">
        <v>0</v>
      </c>
      <c r="Q94">
        <v>0</v>
      </c>
      <c r="R94">
        <v>0</v>
      </c>
      <c r="S94">
        <v>1</v>
      </c>
      <c r="T94">
        <v>0</v>
      </c>
    </row>
    <row r="95" spans="1:20">
      <c r="A95" t="s">
        <v>112</v>
      </c>
      <c r="B95">
        <v>468</v>
      </c>
      <c r="C95">
        <v>1</v>
      </c>
      <c r="D95">
        <v>3</v>
      </c>
      <c r="E95">
        <v>0</v>
      </c>
      <c r="F95">
        <v>0</v>
      </c>
      <c r="G95">
        <v>2</v>
      </c>
      <c r="H95">
        <v>1</v>
      </c>
      <c r="I95">
        <v>1</v>
      </c>
      <c r="J95">
        <v>1</v>
      </c>
      <c r="K95">
        <v>0</v>
      </c>
      <c r="L95">
        <v>2000</v>
      </c>
      <c r="M95">
        <v>2024</v>
      </c>
      <c r="N95">
        <f t="shared" si="5"/>
        <v>24</v>
      </c>
      <c r="O95">
        <f t="shared" si="4"/>
        <v>1</v>
      </c>
      <c r="P95">
        <v>0</v>
      </c>
      <c r="Q95">
        <v>0</v>
      </c>
      <c r="R95">
        <v>0</v>
      </c>
      <c r="S95">
        <v>1</v>
      </c>
      <c r="T95">
        <v>0</v>
      </c>
    </row>
    <row r="96" spans="1:20">
      <c r="A96" t="s">
        <v>113</v>
      </c>
      <c r="B96">
        <v>472</v>
      </c>
      <c r="C96" t="s">
        <v>20</v>
      </c>
      <c r="D96">
        <v>4</v>
      </c>
      <c r="E96">
        <v>0</v>
      </c>
      <c r="F96">
        <v>0</v>
      </c>
      <c r="G96">
        <v>2</v>
      </c>
      <c r="H96">
        <v>1</v>
      </c>
      <c r="I96">
        <v>1</v>
      </c>
      <c r="J96">
        <v>0</v>
      </c>
      <c r="K96">
        <v>0</v>
      </c>
      <c r="L96">
        <v>2006</v>
      </c>
      <c r="M96">
        <v>2024</v>
      </c>
      <c r="N96">
        <f t="shared" si="5"/>
        <v>18</v>
      </c>
      <c r="O96">
        <f t="shared" si="4"/>
        <v>1</v>
      </c>
      <c r="P96" t="s">
        <v>20</v>
      </c>
      <c r="Q96">
        <v>0</v>
      </c>
      <c r="R96">
        <v>0</v>
      </c>
      <c r="S96">
        <v>1</v>
      </c>
      <c r="T96">
        <v>0</v>
      </c>
    </row>
    <row r="97" spans="1:20">
      <c r="A97" t="s">
        <v>114</v>
      </c>
      <c r="B97">
        <v>309</v>
      </c>
      <c r="C97">
        <v>0</v>
      </c>
      <c r="D97">
        <v>3</v>
      </c>
      <c r="E97">
        <v>0</v>
      </c>
      <c r="F97">
        <v>1</v>
      </c>
      <c r="G97">
        <v>1</v>
      </c>
      <c r="H97">
        <v>0</v>
      </c>
      <c r="I97">
        <v>1</v>
      </c>
      <c r="J97">
        <v>0</v>
      </c>
      <c r="K97">
        <v>0</v>
      </c>
      <c r="L97">
        <v>2004</v>
      </c>
      <c r="M97">
        <v>2024</v>
      </c>
      <c r="N97">
        <f t="shared" si="5"/>
        <v>20</v>
      </c>
      <c r="O97">
        <f t="shared" si="4"/>
        <v>1</v>
      </c>
      <c r="P97">
        <v>0</v>
      </c>
      <c r="Q97">
        <v>0</v>
      </c>
      <c r="R97">
        <v>0</v>
      </c>
      <c r="S97">
        <v>4</v>
      </c>
      <c r="T97">
        <v>0</v>
      </c>
    </row>
    <row r="98" spans="1:20">
      <c r="A98" t="s">
        <v>115</v>
      </c>
      <c r="B98">
        <v>164</v>
      </c>
      <c r="C98">
        <v>1</v>
      </c>
      <c r="D98">
        <v>3</v>
      </c>
      <c r="E98">
        <v>0</v>
      </c>
      <c r="F98">
        <v>0</v>
      </c>
      <c r="G98">
        <v>1</v>
      </c>
      <c r="H98">
        <v>0</v>
      </c>
      <c r="I98">
        <v>1</v>
      </c>
      <c r="J98">
        <v>0</v>
      </c>
      <c r="K98">
        <v>0</v>
      </c>
      <c r="L98">
        <v>1945</v>
      </c>
      <c r="M98">
        <v>2024</v>
      </c>
      <c r="N98">
        <f t="shared" si="5"/>
        <v>79</v>
      </c>
      <c r="O98">
        <f t="shared" ref="O98:O129" si="6">IF(M98=2024,1,IF(M98&lt;2024,0))</f>
        <v>1</v>
      </c>
      <c r="P98">
        <v>0</v>
      </c>
      <c r="Q98">
        <v>0</v>
      </c>
      <c r="R98">
        <v>0</v>
      </c>
      <c r="S98">
        <v>4</v>
      </c>
      <c r="T98">
        <v>0</v>
      </c>
    </row>
    <row r="99" spans="1:20">
      <c r="A99" t="s">
        <v>116</v>
      </c>
      <c r="B99">
        <v>310</v>
      </c>
      <c r="C99">
        <v>1</v>
      </c>
      <c r="D99">
        <v>2</v>
      </c>
      <c r="E99">
        <v>1</v>
      </c>
      <c r="F99">
        <v>0</v>
      </c>
      <c r="G99">
        <v>1</v>
      </c>
      <c r="H99">
        <v>0</v>
      </c>
      <c r="I99">
        <v>1</v>
      </c>
      <c r="J99">
        <v>0</v>
      </c>
      <c r="K99">
        <v>0</v>
      </c>
      <c r="L99">
        <v>2003</v>
      </c>
      <c r="M99">
        <v>2011</v>
      </c>
      <c r="N99">
        <f t="shared" si="5"/>
        <v>8</v>
      </c>
      <c r="O99">
        <f t="shared" si="6"/>
        <v>0</v>
      </c>
      <c r="P99">
        <v>0</v>
      </c>
      <c r="Q99">
        <v>0</v>
      </c>
      <c r="R99">
        <v>0</v>
      </c>
      <c r="S99">
        <v>4</v>
      </c>
      <c r="T99">
        <v>1</v>
      </c>
    </row>
    <row r="100" spans="1:20">
      <c r="A100" t="s">
        <v>117</v>
      </c>
      <c r="B100">
        <v>308</v>
      </c>
      <c r="C100">
        <v>0</v>
      </c>
      <c r="D100">
        <v>4</v>
      </c>
      <c r="E100">
        <v>1</v>
      </c>
      <c r="F100">
        <v>1</v>
      </c>
      <c r="G100">
        <v>1</v>
      </c>
      <c r="H100">
        <v>0</v>
      </c>
      <c r="I100">
        <v>0</v>
      </c>
      <c r="J100">
        <v>0</v>
      </c>
      <c r="K100">
        <v>0</v>
      </c>
      <c r="L100">
        <v>1965</v>
      </c>
      <c r="M100">
        <v>2003</v>
      </c>
      <c r="N100">
        <f t="shared" si="5"/>
        <v>38</v>
      </c>
      <c r="O100">
        <f t="shared" si="6"/>
        <v>0</v>
      </c>
      <c r="P100">
        <v>1</v>
      </c>
      <c r="Q100">
        <v>0</v>
      </c>
      <c r="R100">
        <v>0</v>
      </c>
      <c r="S100">
        <v>4</v>
      </c>
      <c r="T100">
        <v>0</v>
      </c>
    </row>
    <row r="101" spans="1:20">
      <c r="A101" t="s">
        <v>118</v>
      </c>
      <c r="B101">
        <v>335</v>
      </c>
      <c r="C101">
        <v>0</v>
      </c>
      <c r="D101">
        <v>4</v>
      </c>
      <c r="E101">
        <v>0</v>
      </c>
      <c r="F101">
        <v>0</v>
      </c>
      <c r="G101">
        <v>2</v>
      </c>
      <c r="H101">
        <v>0</v>
      </c>
      <c r="I101">
        <v>0</v>
      </c>
      <c r="J101">
        <v>0</v>
      </c>
      <c r="K101">
        <v>0</v>
      </c>
      <c r="L101">
        <v>2003</v>
      </c>
      <c r="M101">
        <v>2024</v>
      </c>
      <c r="N101">
        <f t="shared" si="5"/>
        <v>21</v>
      </c>
      <c r="O101">
        <f t="shared" si="6"/>
        <v>1</v>
      </c>
      <c r="P101" t="s">
        <v>20</v>
      </c>
      <c r="Q101">
        <v>0</v>
      </c>
      <c r="R101">
        <v>0</v>
      </c>
      <c r="S101">
        <v>5</v>
      </c>
      <c r="T101">
        <v>0</v>
      </c>
    </row>
    <row r="102" spans="1:20">
      <c r="A102" t="s">
        <v>119</v>
      </c>
      <c r="B102">
        <v>334</v>
      </c>
      <c r="C102">
        <v>0</v>
      </c>
      <c r="D102">
        <v>4</v>
      </c>
      <c r="E102">
        <v>0</v>
      </c>
      <c r="F102">
        <v>0</v>
      </c>
      <c r="G102">
        <v>1</v>
      </c>
      <c r="H102">
        <v>0</v>
      </c>
      <c r="I102">
        <v>0</v>
      </c>
      <c r="J102">
        <v>0</v>
      </c>
      <c r="K102">
        <v>0</v>
      </c>
      <c r="L102">
        <v>1978</v>
      </c>
      <c r="M102">
        <v>1994</v>
      </c>
      <c r="N102">
        <f t="shared" si="5"/>
        <v>16</v>
      </c>
      <c r="O102">
        <f t="shared" si="6"/>
        <v>0</v>
      </c>
      <c r="P102" t="s">
        <v>20</v>
      </c>
      <c r="Q102">
        <v>0</v>
      </c>
      <c r="R102">
        <v>0</v>
      </c>
      <c r="S102">
        <v>5</v>
      </c>
      <c r="T102">
        <v>0</v>
      </c>
    </row>
    <row r="103" spans="1:20">
      <c r="A103" t="s">
        <v>120</v>
      </c>
      <c r="B103">
        <v>5659</v>
      </c>
      <c r="C103">
        <v>1</v>
      </c>
      <c r="D103">
        <v>3</v>
      </c>
      <c r="E103">
        <v>1</v>
      </c>
      <c r="F103">
        <v>0</v>
      </c>
      <c r="G103">
        <v>2</v>
      </c>
      <c r="H103">
        <v>0</v>
      </c>
      <c r="I103">
        <v>0</v>
      </c>
      <c r="J103">
        <v>1</v>
      </c>
      <c r="K103">
        <v>0</v>
      </c>
      <c r="L103">
        <v>2003</v>
      </c>
      <c r="M103">
        <v>2008</v>
      </c>
      <c r="N103">
        <f t="shared" si="5"/>
        <v>5</v>
      </c>
      <c r="O103">
        <f t="shared" si="6"/>
        <v>0</v>
      </c>
      <c r="P103">
        <v>1</v>
      </c>
      <c r="Q103">
        <v>0</v>
      </c>
      <c r="R103">
        <v>0</v>
      </c>
      <c r="S103">
        <v>4</v>
      </c>
      <c r="T103">
        <v>1</v>
      </c>
    </row>
    <row r="104" spans="1:20">
      <c r="A104" t="s">
        <v>121</v>
      </c>
      <c r="B104">
        <v>233</v>
      </c>
      <c r="C104">
        <v>0</v>
      </c>
      <c r="D104">
        <v>4</v>
      </c>
      <c r="E104">
        <v>1</v>
      </c>
      <c r="F104">
        <v>0</v>
      </c>
      <c r="G104">
        <v>1</v>
      </c>
      <c r="H104">
        <v>0</v>
      </c>
      <c r="I104">
        <v>0</v>
      </c>
      <c r="J104">
        <v>0</v>
      </c>
      <c r="K104">
        <v>0</v>
      </c>
      <c r="L104">
        <v>2001</v>
      </c>
      <c r="M104">
        <v>2003</v>
      </c>
      <c r="N104">
        <f t="shared" si="5"/>
        <v>2</v>
      </c>
      <c r="O104">
        <f t="shared" si="6"/>
        <v>0</v>
      </c>
      <c r="P104">
        <v>0</v>
      </c>
      <c r="Q104">
        <v>0</v>
      </c>
      <c r="R104">
        <v>0</v>
      </c>
      <c r="S104">
        <v>4</v>
      </c>
      <c r="T104">
        <v>1</v>
      </c>
    </row>
    <row r="105" spans="1:20">
      <c r="A105" t="s">
        <v>122</v>
      </c>
      <c r="B105">
        <v>261</v>
      </c>
      <c r="C105">
        <v>1</v>
      </c>
      <c r="D105">
        <v>1</v>
      </c>
      <c r="E105">
        <v>0</v>
      </c>
      <c r="F105">
        <v>0</v>
      </c>
      <c r="G105">
        <v>1</v>
      </c>
      <c r="H105">
        <v>0</v>
      </c>
      <c r="I105">
        <v>1</v>
      </c>
      <c r="J105">
        <v>0</v>
      </c>
      <c r="K105">
        <v>0</v>
      </c>
      <c r="L105">
        <v>1975</v>
      </c>
      <c r="M105">
        <v>2024</v>
      </c>
      <c r="N105">
        <f t="shared" si="5"/>
        <v>49</v>
      </c>
      <c r="O105">
        <f t="shared" si="6"/>
        <v>1</v>
      </c>
      <c r="P105">
        <v>0</v>
      </c>
      <c r="Q105">
        <v>0</v>
      </c>
      <c r="R105">
        <v>0</v>
      </c>
      <c r="S105">
        <v>4</v>
      </c>
      <c r="T105">
        <v>0</v>
      </c>
    </row>
    <row r="106" spans="1:20">
      <c r="A106" t="s">
        <v>123</v>
      </c>
      <c r="B106">
        <v>234</v>
      </c>
      <c r="C106">
        <v>1</v>
      </c>
      <c r="D106">
        <v>3</v>
      </c>
      <c r="E106">
        <v>1</v>
      </c>
      <c r="F106">
        <v>0</v>
      </c>
      <c r="G106">
        <v>1</v>
      </c>
      <c r="H106">
        <v>0</v>
      </c>
      <c r="I106">
        <v>0</v>
      </c>
      <c r="J106">
        <v>1</v>
      </c>
      <c r="K106">
        <v>1</v>
      </c>
      <c r="L106">
        <v>2000</v>
      </c>
      <c r="M106">
        <v>2004</v>
      </c>
      <c r="N106">
        <f t="shared" si="5"/>
        <v>4</v>
      </c>
      <c r="O106">
        <f t="shared" si="6"/>
        <v>0</v>
      </c>
      <c r="P106">
        <v>1</v>
      </c>
      <c r="Q106">
        <v>1</v>
      </c>
      <c r="R106">
        <v>0</v>
      </c>
      <c r="S106">
        <v>4</v>
      </c>
      <c r="T106">
        <v>1</v>
      </c>
    </row>
    <row r="107" spans="1:20">
      <c r="A107" t="s">
        <v>124</v>
      </c>
      <c r="B107">
        <v>341</v>
      </c>
      <c r="C107">
        <v>0</v>
      </c>
      <c r="D107">
        <v>3</v>
      </c>
      <c r="E107">
        <v>1</v>
      </c>
      <c r="F107">
        <v>0</v>
      </c>
      <c r="G107">
        <v>2</v>
      </c>
      <c r="H107">
        <v>0</v>
      </c>
      <c r="I107">
        <v>0</v>
      </c>
      <c r="J107">
        <v>0</v>
      </c>
      <c r="K107">
        <v>0</v>
      </c>
      <c r="L107">
        <v>1977</v>
      </c>
      <c r="M107">
        <v>2011</v>
      </c>
      <c r="N107">
        <f t="shared" si="5"/>
        <v>34</v>
      </c>
      <c r="O107">
        <f t="shared" si="6"/>
        <v>0</v>
      </c>
      <c r="P107">
        <v>1</v>
      </c>
      <c r="Q107">
        <v>0</v>
      </c>
      <c r="R107">
        <v>0</v>
      </c>
      <c r="S107">
        <v>1</v>
      </c>
      <c r="T107">
        <v>1</v>
      </c>
    </row>
    <row r="108" spans="1:20">
      <c r="A108" t="s">
        <v>125</v>
      </c>
      <c r="B108">
        <v>204</v>
      </c>
      <c r="C108">
        <v>0</v>
      </c>
      <c r="D108">
        <v>2</v>
      </c>
      <c r="E108">
        <v>1</v>
      </c>
      <c r="F108">
        <v>0</v>
      </c>
      <c r="G108">
        <v>1</v>
      </c>
      <c r="H108">
        <v>1</v>
      </c>
      <c r="I108">
        <v>1</v>
      </c>
      <c r="J108">
        <v>0</v>
      </c>
      <c r="K108">
        <v>0</v>
      </c>
      <c r="L108">
        <v>1964</v>
      </c>
      <c r="M108">
        <v>2024</v>
      </c>
      <c r="N108">
        <f t="shared" si="5"/>
        <v>60</v>
      </c>
      <c r="O108">
        <f t="shared" si="6"/>
        <v>1</v>
      </c>
      <c r="P108">
        <v>0</v>
      </c>
      <c r="Q108">
        <v>0</v>
      </c>
      <c r="R108">
        <v>0</v>
      </c>
      <c r="S108">
        <v>4</v>
      </c>
      <c r="T108">
        <v>0</v>
      </c>
    </row>
    <row r="109" spans="1:20">
      <c r="A109" t="s">
        <v>126</v>
      </c>
      <c r="B109">
        <v>366</v>
      </c>
      <c r="C109">
        <v>1</v>
      </c>
      <c r="D109">
        <v>2</v>
      </c>
      <c r="E109">
        <v>1</v>
      </c>
      <c r="F109">
        <v>0</v>
      </c>
      <c r="G109">
        <v>1</v>
      </c>
      <c r="H109">
        <v>1</v>
      </c>
      <c r="I109">
        <v>1</v>
      </c>
      <c r="J109">
        <v>0</v>
      </c>
      <c r="K109">
        <v>0</v>
      </c>
      <c r="L109">
        <v>1982</v>
      </c>
      <c r="M109">
        <v>2024</v>
      </c>
      <c r="N109">
        <f t="shared" si="5"/>
        <v>42</v>
      </c>
      <c r="O109">
        <f t="shared" si="6"/>
        <v>1</v>
      </c>
      <c r="P109">
        <v>1</v>
      </c>
      <c r="Q109">
        <v>0</v>
      </c>
      <c r="R109">
        <v>0</v>
      </c>
      <c r="S109">
        <v>4</v>
      </c>
      <c r="T109">
        <v>1</v>
      </c>
    </row>
    <row r="110" spans="1:20">
      <c r="A110" t="s">
        <v>127</v>
      </c>
      <c r="B110">
        <v>206</v>
      </c>
      <c r="C110">
        <v>0</v>
      </c>
      <c r="D110">
        <v>4</v>
      </c>
      <c r="E110">
        <v>0</v>
      </c>
      <c r="F110">
        <v>0</v>
      </c>
      <c r="G110">
        <v>1</v>
      </c>
      <c r="H110">
        <v>1</v>
      </c>
      <c r="I110">
        <v>1</v>
      </c>
      <c r="J110">
        <v>0</v>
      </c>
      <c r="K110">
        <v>0</v>
      </c>
      <c r="L110">
        <v>1968</v>
      </c>
      <c r="M110">
        <v>2024</v>
      </c>
      <c r="N110">
        <f t="shared" si="5"/>
        <v>56</v>
      </c>
      <c r="O110">
        <f t="shared" si="6"/>
        <v>1</v>
      </c>
      <c r="P110" t="s">
        <v>20</v>
      </c>
      <c r="Q110">
        <v>0</v>
      </c>
      <c r="R110">
        <v>0</v>
      </c>
      <c r="S110">
        <v>4</v>
      </c>
      <c r="T110">
        <v>0</v>
      </c>
    </row>
    <row r="111" spans="1:20">
      <c r="A111" t="s">
        <v>128</v>
      </c>
      <c r="B111">
        <v>209</v>
      </c>
      <c r="C111">
        <v>1</v>
      </c>
      <c r="D111">
        <v>2</v>
      </c>
      <c r="E111">
        <v>1</v>
      </c>
      <c r="F111">
        <v>0</v>
      </c>
      <c r="G111">
        <v>1</v>
      </c>
      <c r="H111">
        <v>1</v>
      </c>
      <c r="I111">
        <v>1</v>
      </c>
      <c r="J111">
        <v>0</v>
      </c>
      <c r="K111">
        <v>0</v>
      </c>
      <c r="L111">
        <v>1987</v>
      </c>
      <c r="M111">
        <v>2024</v>
      </c>
      <c r="N111">
        <f t="shared" si="5"/>
        <v>37</v>
      </c>
      <c r="O111">
        <f t="shared" si="6"/>
        <v>1</v>
      </c>
      <c r="P111">
        <v>1</v>
      </c>
      <c r="Q111">
        <v>0</v>
      </c>
      <c r="R111">
        <v>0</v>
      </c>
      <c r="S111">
        <v>4</v>
      </c>
      <c r="T111">
        <v>1</v>
      </c>
    </row>
    <row r="112" spans="1:20">
      <c r="A112" t="s">
        <v>129</v>
      </c>
      <c r="B112">
        <v>212</v>
      </c>
      <c r="C112">
        <v>0</v>
      </c>
      <c r="D112">
        <v>3</v>
      </c>
      <c r="E112">
        <v>1</v>
      </c>
      <c r="F112">
        <v>0</v>
      </c>
      <c r="G112">
        <v>1</v>
      </c>
      <c r="H112">
        <v>1</v>
      </c>
      <c r="I112">
        <v>0</v>
      </c>
      <c r="J112">
        <v>0</v>
      </c>
      <c r="K112">
        <v>0</v>
      </c>
      <c r="L112">
        <v>1980</v>
      </c>
      <c r="M112">
        <v>1984</v>
      </c>
      <c r="N112">
        <f t="shared" si="5"/>
        <v>4</v>
      </c>
      <c r="O112">
        <f t="shared" si="6"/>
        <v>0</v>
      </c>
      <c r="P112">
        <v>0</v>
      </c>
      <c r="Q112" t="s">
        <v>20</v>
      </c>
      <c r="R112" t="s">
        <v>20</v>
      </c>
      <c r="S112">
        <v>1</v>
      </c>
      <c r="T112">
        <v>0</v>
      </c>
    </row>
    <row r="113" spans="1:20">
      <c r="A113" t="s">
        <v>130</v>
      </c>
      <c r="B113">
        <v>211</v>
      </c>
      <c r="C113">
        <v>0</v>
      </c>
      <c r="D113">
        <v>2</v>
      </c>
      <c r="E113">
        <v>1</v>
      </c>
      <c r="F113">
        <v>0</v>
      </c>
      <c r="G113">
        <v>1</v>
      </c>
      <c r="H113">
        <v>1</v>
      </c>
      <c r="I113">
        <v>1</v>
      </c>
      <c r="J113">
        <v>0</v>
      </c>
      <c r="K113">
        <v>0</v>
      </c>
      <c r="L113">
        <v>2000</v>
      </c>
      <c r="M113">
        <v>2024</v>
      </c>
      <c r="N113">
        <f t="shared" si="5"/>
        <v>24</v>
      </c>
      <c r="O113">
        <f t="shared" si="6"/>
        <v>1</v>
      </c>
      <c r="P113">
        <v>0</v>
      </c>
      <c r="Q113">
        <v>0</v>
      </c>
      <c r="R113">
        <v>0</v>
      </c>
      <c r="S113">
        <v>1</v>
      </c>
      <c r="T113">
        <v>0</v>
      </c>
    </row>
    <row r="114" spans="1:20">
      <c r="A114" t="s">
        <v>131</v>
      </c>
      <c r="B114">
        <v>207</v>
      </c>
      <c r="C114">
        <v>1</v>
      </c>
      <c r="D114">
        <v>2</v>
      </c>
      <c r="E114">
        <v>1</v>
      </c>
      <c r="F114">
        <v>0</v>
      </c>
      <c r="G114">
        <v>1</v>
      </c>
      <c r="H114">
        <v>1</v>
      </c>
      <c r="I114">
        <v>1</v>
      </c>
      <c r="J114">
        <v>0</v>
      </c>
      <c r="K114">
        <v>0</v>
      </c>
      <c r="L114">
        <v>1959</v>
      </c>
      <c r="M114">
        <v>2024</v>
      </c>
      <c r="N114">
        <f t="shared" si="5"/>
        <v>65</v>
      </c>
      <c r="O114">
        <f t="shared" si="6"/>
        <v>1</v>
      </c>
      <c r="P114">
        <v>0</v>
      </c>
      <c r="Q114">
        <v>0</v>
      </c>
      <c r="R114">
        <v>0</v>
      </c>
      <c r="S114">
        <v>4</v>
      </c>
      <c r="T114">
        <v>0</v>
      </c>
    </row>
    <row r="115" spans="1:20">
      <c r="A115" t="s">
        <v>132</v>
      </c>
      <c r="B115">
        <v>208</v>
      </c>
      <c r="C115">
        <v>0</v>
      </c>
      <c r="D115">
        <v>4</v>
      </c>
      <c r="E115">
        <v>1</v>
      </c>
      <c r="F115">
        <v>0</v>
      </c>
      <c r="G115">
        <v>1</v>
      </c>
      <c r="H115">
        <v>1</v>
      </c>
      <c r="I115">
        <v>0</v>
      </c>
      <c r="J115">
        <v>0</v>
      </c>
      <c r="K115">
        <v>0</v>
      </c>
      <c r="L115">
        <v>1979</v>
      </c>
      <c r="M115">
        <v>2024</v>
      </c>
      <c r="N115">
        <f t="shared" si="5"/>
        <v>45</v>
      </c>
      <c r="O115">
        <f t="shared" si="6"/>
        <v>1</v>
      </c>
      <c r="P115">
        <v>0</v>
      </c>
      <c r="Q115">
        <v>0</v>
      </c>
      <c r="R115">
        <v>0</v>
      </c>
      <c r="S115">
        <v>4</v>
      </c>
      <c r="T115">
        <v>1</v>
      </c>
    </row>
    <row r="116" spans="1:20">
      <c r="A116" t="s">
        <v>133</v>
      </c>
      <c r="B116">
        <v>205</v>
      </c>
      <c r="C116">
        <v>0</v>
      </c>
      <c r="D116">
        <v>4</v>
      </c>
      <c r="E116">
        <v>0</v>
      </c>
      <c r="F116">
        <v>0</v>
      </c>
      <c r="G116">
        <v>1</v>
      </c>
      <c r="H116">
        <v>1</v>
      </c>
      <c r="I116">
        <v>1</v>
      </c>
      <c r="J116">
        <v>0</v>
      </c>
      <c r="K116">
        <v>0</v>
      </c>
      <c r="L116">
        <v>1967</v>
      </c>
      <c r="M116">
        <v>2024</v>
      </c>
      <c r="N116">
        <f t="shared" si="5"/>
        <v>57</v>
      </c>
      <c r="O116">
        <f t="shared" si="6"/>
        <v>1</v>
      </c>
      <c r="P116" t="s">
        <v>20</v>
      </c>
      <c r="Q116">
        <v>0</v>
      </c>
      <c r="R116">
        <v>0</v>
      </c>
      <c r="S116">
        <v>4</v>
      </c>
      <c r="T116">
        <v>0</v>
      </c>
    </row>
    <row r="117" spans="1:20">
      <c r="A117" t="s">
        <v>134</v>
      </c>
      <c r="B117">
        <v>881</v>
      </c>
      <c r="C117">
        <v>0</v>
      </c>
      <c r="D117">
        <v>3</v>
      </c>
      <c r="E117">
        <v>1</v>
      </c>
      <c r="F117">
        <v>0</v>
      </c>
      <c r="G117">
        <v>2</v>
      </c>
      <c r="H117">
        <v>0</v>
      </c>
      <c r="I117">
        <v>0</v>
      </c>
      <c r="J117">
        <v>0</v>
      </c>
      <c r="K117">
        <v>0</v>
      </c>
      <c r="L117">
        <v>2009</v>
      </c>
      <c r="M117">
        <v>2024</v>
      </c>
      <c r="N117">
        <f t="shared" si="5"/>
        <v>15</v>
      </c>
      <c r="O117">
        <f t="shared" si="6"/>
        <v>1</v>
      </c>
      <c r="P117">
        <v>0</v>
      </c>
      <c r="Q117">
        <v>0</v>
      </c>
      <c r="R117">
        <v>0</v>
      </c>
      <c r="S117">
        <v>4</v>
      </c>
      <c r="T117">
        <v>1</v>
      </c>
    </row>
    <row r="118" spans="1:20">
      <c r="A118" t="s">
        <v>135</v>
      </c>
      <c r="B118">
        <v>302</v>
      </c>
      <c r="C118">
        <v>1</v>
      </c>
      <c r="D118">
        <v>1</v>
      </c>
      <c r="E118">
        <v>1</v>
      </c>
      <c r="F118">
        <v>0</v>
      </c>
      <c r="G118">
        <v>3</v>
      </c>
      <c r="H118">
        <v>1</v>
      </c>
      <c r="I118">
        <v>1</v>
      </c>
      <c r="J118">
        <v>0</v>
      </c>
      <c r="K118">
        <v>0</v>
      </c>
      <c r="L118">
        <v>1992</v>
      </c>
      <c r="M118">
        <v>2021</v>
      </c>
      <c r="N118">
        <f t="shared" si="5"/>
        <v>29</v>
      </c>
      <c r="O118">
        <f t="shared" si="6"/>
        <v>0</v>
      </c>
      <c r="P118">
        <v>1</v>
      </c>
      <c r="Q118">
        <v>0</v>
      </c>
      <c r="R118">
        <v>0</v>
      </c>
      <c r="S118">
        <v>4</v>
      </c>
      <c r="T118">
        <v>0</v>
      </c>
    </row>
    <row r="119" spans="1:20">
      <c r="A119" t="s">
        <v>136</v>
      </c>
      <c r="B119">
        <v>292</v>
      </c>
      <c r="C119">
        <v>0</v>
      </c>
      <c r="D119">
        <v>4</v>
      </c>
      <c r="E119">
        <v>1</v>
      </c>
      <c r="F119">
        <v>0</v>
      </c>
      <c r="G119">
        <v>2</v>
      </c>
      <c r="H119">
        <v>1</v>
      </c>
      <c r="I119">
        <v>1</v>
      </c>
      <c r="J119">
        <v>0</v>
      </c>
      <c r="K119">
        <v>0</v>
      </c>
      <c r="L119" s="2">
        <v>1973</v>
      </c>
      <c r="M119" s="2">
        <v>2024</v>
      </c>
      <c r="N119">
        <f t="shared" si="5"/>
        <v>51</v>
      </c>
      <c r="O119">
        <f t="shared" si="6"/>
        <v>1</v>
      </c>
      <c r="P119">
        <v>0</v>
      </c>
      <c r="Q119">
        <v>0</v>
      </c>
      <c r="R119">
        <v>0</v>
      </c>
      <c r="S119">
        <v>4</v>
      </c>
      <c r="T119">
        <v>1</v>
      </c>
    </row>
    <row r="120" spans="1:20">
      <c r="A120" t="s">
        <v>137</v>
      </c>
      <c r="B120">
        <v>294</v>
      </c>
      <c r="C120">
        <v>1</v>
      </c>
      <c r="D120">
        <v>4</v>
      </c>
      <c r="E120">
        <v>1</v>
      </c>
      <c r="F120">
        <v>0</v>
      </c>
      <c r="G120">
        <v>1</v>
      </c>
      <c r="H120">
        <v>1</v>
      </c>
      <c r="I120">
        <v>0</v>
      </c>
      <c r="J120">
        <v>0</v>
      </c>
      <c r="K120">
        <v>0</v>
      </c>
      <c r="L120" s="2">
        <v>1979</v>
      </c>
      <c r="M120" s="2">
        <v>1992</v>
      </c>
      <c r="N120">
        <f t="shared" si="5"/>
        <v>13</v>
      </c>
      <c r="O120">
        <f t="shared" si="6"/>
        <v>0</v>
      </c>
      <c r="P120">
        <v>0</v>
      </c>
      <c r="Q120">
        <v>0</v>
      </c>
      <c r="R120">
        <v>0</v>
      </c>
      <c r="S120">
        <v>4</v>
      </c>
      <c r="T120">
        <v>1</v>
      </c>
    </row>
    <row r="121" spans="1:20">
      <c r="A121" t="s">
        <v>138</v>
      </c>
      <c r="B121">
        <v>304</v>
      </c>
      <c r="C121">
        <v>1</v>
      </c>
      <c r="D121">
        <v>3</v>
      </c>
      <c r="E121">
        <v>1</v>
      </c>
      <c r="F121">
        <v>0</v>
      </c>
      <c r="G121">
        <v>2</v>
      </c>
      <c r="H121">
        <v>1</v>
      </c>
      <c r="I121">
        <v>0</v>
      </c>
      <c r="J121">
        <v>0</v>
      </c>
      <c r="K121">
        <v>0</v>
      </c>
      <c r="L121" s="2">
        <v>1992</v>
      </c>
      <c r="M121" s="2">
        <v>2001</v>
      </c>
      <c r="N121">
        <f t="shared" si="5"/>
        <v>9</v>
      </c>
      <c r="O121">
        <f t="shared" si="6"/>
        <v>0</v>
      </c>
      <c r="P121" t="s">
        <v>20</v>
      </c>
      <c r="Q121">
        <v>0</v>
      </c>
      <c r="R121">
        <v>0</v>
      </c>
      <c r="S121">
        <v>4</v>
      </c>
      <c r="T121">
        <v>0</v>
      </c>
    </row>
    <row r="122" spans="1:20">
      <c r="A122" t="s">
        <v>139</v>
      </c>
      <c r="B122">
        <v>296</v>
      </c>
      <c r="C122">
        <v>1</v>
      </c>
      <c r="D122">
        <v>1</v>
      </c>
      <c r="E122">
        <v>1</v>
      </c>
      <c r="F122">
        <v>0</v>
      </c>
      <c r="G122">
        <v>1</v>
      </c>
      <c r="H122">
        <v>1</v>
      </c>
      <c r="I122">
        <v>1</v>
      </c>
      <c r="J122">
        <v>0</v>
      </c>
      <c r="K122">
        <v>0</v>
      </c>
      <c r="L122" s="2">
        <v>1979</v>
      </c>
      <c r="M122" s="2">
        <v>1989</v>
      </c>
      <c r="N122">
        <f t="shared" si="5"/>
        <v>10</v>
      </c>
      <c r="O122">
        <f t="shared" si="6"/>
        <v>0</v>
      </c>
      <c r="P122">
        <v>0</v>
      </c>
      <c r="Q122">
        <v>0</v>
      </c>
      <c r="R122">
        <v>0</v>
      </c>
      <c r="S122">
        <v>4</v>
      </c>
      <c r="T122">
        <v>0</v>
      </c>
    </row>
    <row r="123" spans="1:20">
      <c r="A123" t="s">
        <v>140</v>
      </c>
      <c r="B123">
        <v>299</v>
      </c>
      <c r="C123">
        <v>0</v>
      </c>
      <c r="D123">
        <v>2</v>
      </c>
      <c r="E123">
        <v>1</v>
      </c>
      <c r="F123">
        <v>0</v>
      </c>
      <c r="G123">
        <v>3</v>
      </c>
      <c r="H123">
        <v>1</v>
      </c>
      <c r="I123">
        <v>1</v>
      </c>
      <c r="J123">
        <v>0</v>
      </c>
      <c r="K123">
        <v>0</v>
      </c>
      <c r="L123" s="2">
        <v>1976</v>
      </c>
      <c r="M123" s="2">
        <v>2016</v>
      </c>
      <c r="N123">
        <f t="shared" si="5"/>
        <v>40</v>
      </c>
      <c r="O123">
        <f t="shared" si="6"/>
        <v>0</v>
      </c>
      <c r="P123" t="s">
        <v>20</v>
      </c>
      <c r="Q123">
        <v>0</v>
      </c>
      <c r="R123">
        <v>0</v>
      </c>
      <c r="S123">
        <v>4</v>
      </c>
      <c r="T123">
        <v>1</v>
      </c>
    </row>
    <row r="124" spans="1:20">
      <c r="A124" t="s">
        <v>141</v>
      </c>
      <c r="B124">
        <v>303</v>
      </c>
      <c r="C124">
        <v>1</v>
      </c>
      <c r="D124">
        <v>3</v>
      </c>
      <c r="E124">
        <v>1</v>
      </c>
      <c r="F124">
        <v>0</v>
      </c>
      <c r="G124">
        <v>3</v>
      </c>
      <c r="H124">
        <v>1</v>
      </c>
      <c r="I124">
        <v>0</v>
      </c>
      <c r="J124">
        <v>1</v>
      </c>
      <c r="K124">
        <v>0</v>
      </c>
      <c r="L124" s="2">
        <v>1994</v>
      </c>
      <c r="M124" s="2">
        <v>2024</v>
      </c>
      <c r="N124">
        <f t="shared" si="5"/>
        <v>30</v>
      </c>
      <c r="O124">
        <f t="shared" si="6"/>
        <v>1</v>
      </c>
      <c r="P124">
        <v>1</v>
      </c>
      <c r="Q124">
        <v>0</v>
      </c>
      <c r="R124">
        <v>0</v>
      </c>
      <c r="S124">
        <v>4</v>
      </c>
      <c r="T124">
        <v>1</v>
      </c>
    </row>
    <row r="125" spans="1:20">
      <c r="A125" t="s">
        <v>142</v>
      </c>
      <c r="B125">
        <v>300</v>
      </c>
      <c r="C125">
        <v>1</v>
      </c>
      <c r="D125">
        <v>4</v>
      </c>
      <c r="E125">
        <v>1</v>
      </c>
      <c r="F125">
        <v>0</v>
      </c>
      <c r="G125">
        <v>3</v>
      </c>
      <c r="H125">
        <v>1</v>
      </c>
      <c r="I125">
        <v>1</v>
      </c>
      <c r="J125">
        <v>1</v>
      </c>
      <c r="K125">
        <v>0</v>
      </c>
      <c r="L125" s="2">
        <v>1979</v>
      </c>
      <c r="M125" s="2">
        <v>2002</v>
      </c>
      <c r="N125">
        <f t="shared" si="5"/>
        <v>23</v>
      </c>
      <c r="O125">
        <f t="shared" si="6"/>
        <v>0</v>
      </c>
      <c r="P125">
        <v>1</v>
      </c>
      <c r="Q125">
        <v>0</v>
      </c>
      <c r="R125">
        <v>0</v>
      </c>
      <c r="S125">
        <v>4</v>
      </c>
      <c r="T125">
        <v>0</v>
      </c>
    </row>
    <row r="126" spans="1:20">
      <c r="A126" t="s">
        <v>143</v>
      </c>
      <c r="B126">
        <v>345</v>
      </c>
      <c r="C126">
        <v>0</v>
      </c>
      <c r="D126">
        <v>1</v>
      </c>
      <c r="E126">
        <v>1</v>
      </c>
      <c r="F126">
        <v>0</v>
      </c>
      <c r="G126">
        <v>2</v>
      </c>
      <c r="H126">
        <v>1</v>
      </c>
      <c r="I126">
        <v>1</v>
      </c>
      <c r="J126">
        <v>0</v>
      </c>
      <c r="K126">
        <v>0</v>
      </c>
      <c r="L126" s="2">
        <v>1993</v>
      </c>
      <c r="M126" s="2">
        <v>1997</v>
      </c>
      <c r="N126">
        <f t="shared" si="5"/>
        <v>4</v>
      </c>
      <c r="O126">
        <f t="shared" si="6"/>
        <v>0</v>
      </c>
      <c r="P126" t="s">
        <v>20</v>
      </c>
      <c r="Q126">
        <v>0</v>
      </c>
      <c r="R126">
        <v>0</v>
      </c>
      <c r="S126">
        <v>5</v>
      </c>
      <c r="T126">
        <v>0</v>
      </c>
    </row>
    <row r="127" spans="1:20">
      <c r="A127" t="s">
        <v>144</v>
      </c>
      <c r="B127">
        <v>360</v>
      </c>
      <c r="C127">
        <v>0</v>
      </c>
      <c r="D127">
        <v>4</v>
      </c>
      <c r="E127">
        <v>1</v>
      </c>
      <c r="F127">
        <v>0</v>
      </c>
      <c r="G127">
        <v>2</v>
      </c>
      <c r="H127">
        <v>0</v>
      </c>
      <c r="I127">
        <v>0</v>
      </c>
      <c r="J127">
        <v>0</v>
      </c>
      <c r="K127">
        <v>0</v>
      </c>
      <c r="L127" s="2">
        <v>1983</v>
      </c>
      <c r="M127" s="2">
        <v>1992</v>
      </c>
      <c r="N127">
        <f t="shared" si="5"/>
        <v>9</v>
      </c>
      <c r="O127">
        <f t="shared" si="6"/>
        <v>0</v>
      </c>
      <c r="P127">
        <v>0</v>
      </c>
      <c r="Q127">
        <v>0</v>
      </c>
      <c r="R127">
        <v>0</v>
      </c>
      <c r="S127">
        <v>4</v>
      </c>
      <c r="T127">
        <v>0</v>
      </c>
    </row>
    <row r="128" spans="1:20">
      <c r="A128" t="s">
        <v>145</v>
      </c>
      <c r="B128">
        <v>359</v>
      </c>
      <c r="C128">
        <v>0</v>
      </c>
      <c r="D128">
        <v>3</v>
      </c>
      <c r="E128">
        <v>1</v>
      </c>
      <c r="F128">
        <v>0</v>
      </c>
      <c r="G128">
        <v>2</v>
      </c>
      <c r="H128">
        <v>0</v>
      </c>
      <c r="I128">
        <v>0</v>
      </c>
      <c r="J128">
        <v>0</v>
      </c>
      <c r="K128">
        <v>0</v>
      </c>
      <c r="L128" s="2">
        <v>1998</v>
      </c>
      <c r="M128" s="2">
        <v>2024</v>
      </c>
      <c r="N128">
        <f t="shared" si="5"/>
        <v>26</v>
      </c>
      <c r="O128">
        <f t="shared" si="6"/>
        <v>1</v>
      </c>
      <c r="P128">
        <v>0</v>
      </c>
      <c r="Q128">
        <v>0</v>
      </c>
      <c r="R128">
        <v>0</v>
      </c>
      <c r="S128">
        <v>4</v>
      </c>
      <c r="T128">
        <v>1</v>
      </c>
    </row>
    <row r="129" spans="1:20">
      <c r="A129" t="s">
        <v>146</v>
      </c>
      <c r="B129">
        <v>194</v>
      </c>
      <c r="C129">
        <v>0</v>
      </c>
      <c r="D129">
        <v>1</v>
      </c>
      <c r="E129">
        <v>0</v>
      </c>
      <c r="F129">
        <v>0</v>
      </c>
      <c r="G129">
        <v>1</v>
      </c>
      <c r="H129">
        <v>0</v>
      </c>
      <c r="I129" t="s">
        <v>20</v>
      </c>
      <c r="J129">
        <v>0</v>
      </c>
      <c r="K129">
        <v>0</v>
      </c>
      <c r="L129" s="2">
        <v>1969</v>
      </c>
      <c r="M129" s="2">
        <v>2004</v>
      </c>
      <c r="N129">
        <f t="shared" si="5"/>
        <v>35</v>
      </c>
      <c r="O129">
        <f t="shared" si="6"/>
        <v>0</v>
      </c>
      <c r="P129" t="s">
        <v>20</v>
      </c>
      <c r="Q129">
        <v>0</v>
      </c>
      <c r="R129">
        <v>0</v>
      </c>
      <c r="S129">
        <v>4</v>
      </c>
      <c r="T129">
        <v>0</v>
      </c>
    </row>
    <row r="130" spans="1:20">
      <c r="A130" t="s">
        <v>147</v>
      </c>
      <c r="B130">
        <v>326</v>
      </c>
      <c r="C130">
        <v>1</v>
      </c>
      <c r="D130">
        <v>4</v>
      </c>
      <c r="E130">
        <v>0</v>
      </c>
      <c r="F130">
        <v>0</v>
      </c>
      <c r="G130">
        <v>1</v>
      </c>
      <c r="H130">
        <v>0</v>
      </c>
      <c r="I130">
        <v>1</v>
      </c>
      <c r="J130">
        <v>0</v>
      </c>
      <c r="K130">
        <v>0</v>
      </c>
      <c r="L130" s="2">
        <v>1979</v>
      </c>
      <c r="M130" s="2">
        <v>2023</v>
      </c>
      <c r="N130">
        <f t="shared" si="5"/>
        <v>44</v>
      </c>
      <c r="O130">
        <f t="shared" ref="O130:O161" si="7">IF(M130=2024,1,IF(M130&lt;2024,0))</f>
        <v>0</v>
      </c>
      <c r="P130">
        <v>1</v>
      </c>
      <c r="Q130">
        <v>0</v>
      </c>
      <c r="R130">
        <v>0</v>
      </c>
      <c r="S130">
        <v>4</v>
      </c>
      <c r="T130">
        <v>0</v>
      </c>
    </row>
    <row r="131" spans="1:20">
      <c r="A131" t="s">
        <v>148</v>
      </c>
      <c r="B131">
        <v>195</v>
      </c>
      <c r="C131">
        <v>0</v>
      </c>
      <c r="D131">
        <v>1</v>
      </c>
      <c r="E131">
        <v>0</v>
      </c>
      <c r="F131">
        <v>0</v>
      </c>
      <c r="G131">
        <v>2</v>
      </c>
      <c r="H131">
        <v>0</v>
      </c>
      <c r="I131">
        <v>0</v>
      </c>
      <c r="J131">
        <v>1</v>
      </c>
      <c r="K131">
        <v>0</v>
      </c>
      <c r="L131" s="2">
        <v>2004</v>
      </c>
      <c r="M131" s="2">
        <v>2009</v>
      </c>
      <c r="N131">
        <f t="shared" si="5"/>
        <v>5</v>
      </c>
      <c r="O131">
        <f t="shared" si="7"/>
        <v>0</v>
      </c>
      <c r="P131">
        <v>1</v>
      </c>
      <c r="Q131">
        <v>1</v>
      </c>
      <c r="R131">
        <v>0</v>
      </c>
      <c r="S131">
        <v>4</v>
      </c>
      <c r="T131">
        <v>0</v>
      </c>
    </row>
    <row r="132" spans="1:20">
      <c r="A132" t="s">
        <v>149</v>
      </c>
      <c r="B132">
        <v>193</v>
      </c>
      <c r="C132">
        <v>0</v>
      </c>
      <c r="D132">
        <v>3</v>
      </c>
      <c r="E132">
        <v>0</v>
      </c>
      <c r="F132">
        <v>1</v>
      </c>
      <c r="G132">
        <v>1</v>
      </c>
      <c r="H132">
        <v>0</v>
      </c>
      <c r="I132">
        <v>1</v>
      </c>
      <c r="J132">
        <v>0</v>
      </c>
      <c r="K132">
        <v>0</v>
      </c>
      <c r="L132" s="2">
        <v>1980</v>
      </c>
      <c r="M132" s="2">
        <v>2004</v>
      </c>
      <c r="N132">
        <f t="shared" si="5"/>
        <v>24</v>
      </c>
      <c r="O132">
        <f t="shared" si="7"/>
        <v>0</v>
      </c>
      <c r="P132" t="s">
        <v>20</v>
      </c>
      <c r="Q132">
        <v>0</v>
      </c>
      <c r="R132">
        <v>0</v>
      </c>
      <c r="S132">
        <v>4</v>
      </c>
      <c r="T132">
        <v>0</v>
      </c>
    </row>
    <row r="133" spans="1:20">
      <c r="A133" t="s">
        <v>150</v>
      </c>
      <c r="B133">
        <v>363</v>
      </c>
      <c r="C133">
        <v>0</v>
      </c>
      <c r="D133">
        <v>4</v>
      </c>
      <c r="E133">
        <v>0</v>
      </c>
      <c r="F133">
        <v>0</v>
      </c>
      <c r="G133">
        <v>1</v>
      </c>
      <c r="H133">
        <v>0</v>
      </c>
      <c r="I133">
        <v>1</v>
      </c>
      <c r="J133">
        <v>0</v>
      </c>
      <c r="K133">
        <v>0</v>
      </c>
      <c r="L133" s="2">
        <v>1986</v>
      </c>
      <c r="M133" s="2">
        <v>2020</v>
      </c>
      <c r="N133">
        <f t="shared" si="5"/>
        <v>34</v>
      </c>
      <c r="O133">
        <f t="shared" si="7"/>
        <v>0</v>
      </c>
      <c r="P133">
        <v>0</v>
      </c>
      <c r="Q133">
        <v>0</v>
      </c>
      <c r="R133">
        <v>0</v>
      </c>
      <c r="S133">
        <v>4</v>
      </c>
      <c r="T133">
        <v>0</v>
      </c>
    </row>
    <row r="134" spans="1:20">
      <c r="A134" t="s">
        <v>151</v>
      </c>
      <c r="B134">
        <v>307</v>
      </c>
      <c r="C134">
        <v>0</v>
      </c>
      <c r="D134">
        <v>4</v>
      </c>
      <c r="E134">
        <v>0</v>
      </c>
      <c r="F134">
        <v>0</v>
      </c>
      <c r="G134">
        <v>1</v>
      </c>
      <c r="H134">
        <v>0</v>
      </c>
      <c r="I134">
        <v>1</v>
      </c>
      <c r="J134">
        <v>0</v>
      </c>
      <c r="K134">
        <v>0</v>
      </c>
      <c r="L134" s="2">
        <v>1989</v>
      </c>
      <c r="M134" s="2">
        <v>2024</v>
      </c>
      <c r="N134">
        <f t="shared" si="5"/>
        <v>35</v>
      </c>
      <c r="O134">
        <f t="shared" si="7"/>
        <v>1</v>
      </c>
      <c r="P134">
        <v>0</v>
      </c>
      <c r="Q134">
        <v>0</v>
      </c>
      <c r="R134">
        <v>0</v>
      </c>
      <c r="S134">
        <v>4</v>
      </c>
      <c r="T134">
        <v>0</v>
      </c>
    </row>
    <row r="135" spans="1:20">
      <c r="A135" t="s">
        <v>152</v>
      </c>
      <c r="B135">
        <v>317</v>
      </c>
      <c r="C135">
        <v>0</v>
      </c>
      <c r="D135">
        <v>4</v>
      </c>
      <c r="E135">
        <v>0</v>
      </c>
      <c r="F135">
        <v>0</v>
      </c>
      <c r="G135">
        <v>1</v>
      </c>
      <c r="H135">
        <v>0</v>
      </c>
      <c r="I135">
        <v>1</v>
      </c>
      <c r="J135">
        <v>0</v>
      </c>
      <c r="K135">
        <v>0</v>
      </c>
      <c r="L135" s="2">
        <v>1980</v>
      </c>
      <c r="M135" s="2">
        <v>2024</v>
      </c>
      <c r="N135">
        <f t="shared" si="5"/>
        <v>44</v>
      </c>
      <c r="O135">
        <f t="shared" si="7"/>
        <v>1</v>
      </c>
      <c r="P135" t="s">
        <v>20</v>
      </c>
      <c r="Q135">
        <v>0</v>
      </c>
      <c r="R135">
        <v>0</v>
      </c>
      <c r="S135">
        <v>4</v>
      </c>
      <c r="T135">
        <v>0</v>
      </c>
    </row>
    <row r="136" spans="1:20">
      <c r="A136" t="s">
        <v>153</v>
      </c>
      <c r="B136">
        <v>318</v>
      </c>
      <c r="C136">
        <v>0</v>
      </c>
      <c r="D136">
        <v>4</v>
      </c>
      <c r="E136">
        <v>0</v>
      </c>
      <c r="F136">
        <v>0</v>
      </c>
      <c r="G136">
        <v>1</v>
      </c>
      <c r="H136">
        <v>0</v>
      </c>
      <c r="I136">
        <v>1</v>
      </c>
      <c r="J136">
        <v>0</v>
      </c>
      <c r="K136">
        <v>0</v>
      </c>
      <c r="L136" s="2">
        <v>1977</v>
      </c>
      <c r="M136" s="2">
        <v>2024</v>
      </c>
      <c r="N136">
        <f t="shared" si="5"/>
        <v>47</v>
      </c>
      <c r="O136">
        <f t="shared" si="7"/>
        <v>1</v>
      </c>
      <c r="P136" t="s">
        <v>20</v>
      </c>
      <c r="Q136">
        <v>0</v>
      </c>
      <c r="R136">
        <v>0</v>
      </c>
      <c r="S136">
        <v>4</v>
      </c>
      <c r="T136">
        <v>0</v>
      </c>
    </row>
    <row r="137" spans="1:20">
      <c r="A137" t="s">
        <v>154</v>
      </c>
      <c r="B137">
        <v>223</v>
      </c>
      <c r="C137">
        <v>0</v>
      </c>
      <c r="D137">
        <v>3</v>
      </c>
      <c r="E137">
        <v>0</v>
      </c>
      <c r="F137">
        <v>0</v>
      </c>
      <c r="G137">
        <v>1</v>
      </c>
      <c r="H137">
        <v>0</v>
      </c>
      <c r="I137">
        <v>1</v>
      </c>
      <c r="J137">
        <v>0</v>
      </c>
      <c r="K137">
        <v>0</v>
      </c>
      <c r="L137" s="2">
        <v>1988</v>
      </c>
      <c r="M137" s="2">
        <v>2024</v>
      </c>
      <c r="N137">
        <f t="shared" si="5"/>
        <v>36</v>
      </c>
      <c r="O137">
        <f t="shared" si="7"/>
        <v>1</v>
      </c>
      <c r="P137" t="s">
        <v>20</v>
      </c>
      <c r="Q137">
        <v>0</v>
      </c>
      <c r="R137">
        <v>0</v>
      </c>
      <c r="S137">
        <v>4</v>
      </c>
      <c r="T137">
        <v>0</v>
      </c>
    </row>
    <row r="138" spans="1:20">
      <c r="A138" t="s">
        <v>155</v>
      </c>
      <c r="B138">
        <v>314</v>
      </c>
      <c r="C138">
        <v>0</v>
      </c>
      <c r="D138">
        <v>1</v>
      </c>
      <c r="E138">
        <v>0</v>
      </c>
      <c r="F138">
        <v>0</v>
      </c>
      <c r="G138">
        <v>1</v>
      </c>
      <c r="H138">
        <v>0</v>
      </c>
      <c r="I138">
        <v>0</v>
      </c>
      <c r="J138">
        <v>0</v>
      </c>
      <c r="K138">
        <v>0</v>
      </c>
      <c r="L138" s="2">
        <v>1927</v>
      </c>
      <c r="M138" s="2">
        <v>1947</v>
      </c>
      <c r="N138">
        <f t="shared" si="5"/>
        <v>20</v>
      </c>
      <c r="O138">
        <f t="shared" si="7"/>
        <v>0</v>
      </c>
      <c r="P138">
        <v>1</v>
      </c>
      <c r="Q138">
        <v>0</v>
      </c>
      <c r="R138">
        <v>0</v>
      </c>
      <c r="S138">
        <v>4</v>
      </c>
      <c r="T138">
        <v>0</v>
      </c>
    </row>
    <row r="139" spans="1:20">
      <c r="A139" t="s">
        <v>156</v>
      </c>
      <c r="B139">
        <v>319</v>
      </c>
      <c r="C139">
        <v>0</v>
      </c>
      <c r="D139">
        <v>3</v>
      </c>
      <c r="E139">
        <v>0</v>
      </c>
      <c r="F139">
        <v>0</v>
      </c>
      <c r="G139">
        <v>1</v>
      </c>
      <c r="H139">
        <v>0</v>
      </c>
      <c r="I139">
        <v>1</v>
      </c>
      <c r="J139">
        <v>1</v>
      </c>
      <c r="K139">
        <v>0</v>
      </c>
      <c r="L139" s="2">
        <v>1984</v>
      </c>
      <c r="M139" s="2">
        <v>1993</v>
      </c>
      <c r="N139">
        <f t="shared" si="5"/>
        <v>9</v>
      </c>
      <c r="O139">
        <f t="shared" si="7"/>
        <v>0</v>
      </c>
      <c r="P139">
        <v>1</v>
      </c>
      <c r="Q139">
        <v>0</v>
      </c>
      <c r="R139">
        <v>0</v>
      </c>
      <c r="T139">
        <v>0</v>
      </c>
    </row>
    <row r="140" spans="1:20">
      <c r="A140" t="s">
        <v>157</v>
      </c>
      <c r="B140">
        <v>315</v>
      </c>
      <c r="C140">
        <v>0</v>
      </c>
      <c r="D140">
        <v>3</v>
      </c>
      <c r="E140">
        <v>0</v>
      </c>
      <c r="F140">
        <v>0</v>
      </c>
      <c r="G140">
        <v>1</v>
      </c>
      <c r="H140">
        <v>0</v>
      </c>
      <c r="I140">
        <v>1</v>
      </c>
      <c r="J140">
        <v>0</v>
      </c>
      <c r="K140">
        <v>0</v>
      </c>
      <c r="L140" s="2">
        <v>1964</v>
      </c>
      <c r="M140" s="2">
        <v>2024</v>
      </c>
      <c r="N140">
        <f t="shared" si="5"/>
        <v>60</v>
      </c>
      <c r="O140">
        <f t="shared" si="7"/>
        <v>1</v>
      </c>
      <c r="P140">
        <v>1</v>
      </c>
      <c r="Q140">
        <v>0</v>
      </c>
      <c r="R140">
        <v>0</v>
      </c>
      <c r="S140">
        <v>4</v>
      </c>
      <c r="T140">
        <v>0</v>
      </c>
    </row>
    <row r="141" spans="1:20">
      <c r="A141" t="s">
        <v>158</v>
      </c>
      <c r="B141">
        <v>325</v>
      </c>
      <c r="C141">
        <v>0</v>
      </c>
      <c r="D141">
        <v>3</v>
      </c>
      <c r="E141">
        <v>1</v>
      </c>
      <c r="F141">
        <v>0</v>
      </c>
      <c r="G141">
        <v>1</v>
      </c>
      <c r="H141">
        <v>0</v>
      </c>
      <c r="I141">
        <v>1</v>
      </c>
      <c r="J141">
        <v>1</v>
      </c>
      <c r="K141">
        <v>0</v>
      </c>
      <c r="L141" s="2">
        <v>1990</v>
      </c>
      <c r="M141" s="2">
        <v>2021</v>
      </c>
      <c r="N141">
        <f t="shared" si="5"/>
        <v>31</v>
      </c>
      <c r="O141">
        <f t="shared" si="7"/>
        <v>0</v>
      </c>
      <c r="P141">
        <v>0</v>
      </c>
      <c r="Q141">
        <v>0</v>
      </c>
      <c r="R141">
        <v>0</v>
      </c>
      <c r="T141">
        <v>1</v>
      </c>
    </row>
    <row r="142" spans="1:20">
      <c r="A142" t="s">
        <v>159</v>
      </c>
      <c r="B142">
        <v>369</v>
      </c>
      <c r="C142">
        <v>1</v>
      </c>
      <c r="D142">
        <v>4</v>
      </c>
      <c r="E142">
        <v>1</v>
      </c>
      <c r="F142">
        <v>0</v>
      </c>
      <c r="G142">
        <v>1</v>
      </c>
      <c r="H142">
        <v>0</v>
      </c>
      <c r="I142">
        <v>0</v>
      </c>
      <c r="J142">
        <v>0</v>
      </c>
      <c r="K142">
        <v>0</v>
      </c>
      <c r="L142" s="2">
        <v>1993</v>
      </c>
      <c r="M142" s="2">
        <v>2024</v>
      </c>
      <c r="N142">
        <f t="shared" si="5"/>
        <v>31</v>
      </c>
      <c r="O142">
        <f t="shared" si="7"/>
        <v>1</v>
      </c>
      <c r="P142" t="s">
        <v>20</v>
      </c>
      <c r="Q142">
        <v>0</v>
      </c>
      <c r="R142">
        <v>0</v>
      </c>
      <c r="S142">
        <v>4</v>
      </c>
      <c r="T142">
        <v>0</v>
      </c>
    </row>
    <row r="143" spans="1:20">
      <c r="A143" t="s">
        <v>160</v>
      </c>
      <c r="B143">
        <v>1066</v>
      </c>
      <c r="C143">
        <v>0</v>
      </c>
      <c r="D143">
        <v>4</v>
      </c>
      <c r="E143">
        <v>0</v>
      </c>
      <c r="F143">
        <v>0</v>
      </c>
      <c r="G143">
        <v>1</v>
      </c>
      <c r="H143">
        <v>0</v>
      </c>
      <c r="I143">
        <v>1</v>
      </c>
      <c r="J143">
        <v>0</v>
      </c>
      <c r="K143">
        <v>0</v>
      </c>
      <c r="L143" s="2">
        <v>2008</v>
      </c>
      <c r="M143" s="2">
        <v>2010</v>
      </c>
      <c r="N143">
        <f t="shared" si="5"/>
        <v>2</v>
      </c>
      <c r="O143">
        <f t="shared" si="7"/>
        <v>0</v>
      </c>
      <c r="P143">
        <v>0</v>
      </c>
      <c r="Q143" t="s">
        <v>20</v>
      </c>
      <c r="R143" t="s">
        <v>20</v>
      </c>
      <c r="S143">
        <v>4</v>
      </c>
      <c r="T143">
        <v>0</v>
      </c>
    </row>
    <row r="144" spans="1:20">
      <c r="A144" t="s">
        <v>161</v>
      </c>
      <c r="B144">
        <v>306</v>
      </c>
      <c r="C144">
        <v>0</v>
      </c>
      <c r="D144">
        <v>1</v>
      </c>
      <c r="E144">
        <v>0</v>
      </c>
      <c r="F144">
        <v>0</v>
      </c>
      <c r="G144">
        <v>1</v>
      </c>
      <c r="H144">
        <v>0</v>
      </c>
      <c r="I144">
        <v>1</v>
      </c>
      <c r="J144">
        <v>0</v>
      </c>
      <c r="K144">
        <v>0</v>
      </c>
      <c r="L144" s="2">
        <v>1990</v>
      </c>
      <c r="M144" s="2">
        <v>2024</v>
      </c>
      <c r="N144">
        <f t="shared" si="5"/>
        <v>34</v>
      </c>
      <c r="O144">
        <f t="shared" si="7"/>
        <v>1</v>
      </c>
      <c r="P144">
        <v>0</v>
      </c>
      <c r="Q144">
        <v>0</v>
      </c>
      <c r="R144">
        <v>0</v>
      </c>
      <c r="S144">
        <v>4</v>
      </c>
      <c r="T144">
        <v>0</v>
      </c>
    </row>
    <row r="145" spans="1:20">
      <c r="A145" t="s">
        <v>162</v>
      </c>
      <c r="B145">
        <v>356</v>
      </c>
      <c r="C145">
        <v>0</v>
      </c>
      <c r="D145">
        <v>3</v>
      </c>
      <c r="E145">
        <v>1</v>
      </c>
      <c r="F145">
        <v>0</v>
      </c>
      <c r="G145">
        <v>3</v>
      </c>
      <c r="H145">
        <v>1</v>
      </c>
      <c r="I145">
        <v>0</v>
      </c>
      <c r="J145">
        <v>0</v>
      </c>
      <c r="K145">
        <v>0</v>
      </c>
      <c r="L145" s="2">
        <v>2007</v>
      </c>
      <c r="M145" s="2">
        <v>2024</v>
      </c>
      <c r="N145">
        <f t="shared" ref="N145:N196" si="8">M145-L145</f>
        <v>17</v>
      </c>
      <c r="O145">
        <f t="shared" si="7"/>
        <v>1</v>
      </c>
      <c r="P145">
        <v>0</v>
      </c>
      <c r="Q145">
        <v>0</v>
      </c>
      <c r="R145">
        <v>0</v>
      </c>
      <c r="S145">
        <v>4</v>
      </c>
      <c r="T145">
        <v>1</v>
      </c>
    </row>
    <row r="146" spans="1:20">
      <c r="A146" t="s">
        <v>163</v>
      </c>
      <c r="B146">
        <v>289</v>
      </c>
      <c r="C146">
        <v>0</v>
      </c>
      <c r="D146">
        <v>4</v>
      </c>
      <c r="E146">
        <v>0</v>
      </c>
      <c r="F146">
        <v>0</v>
      </c>
      <c r="G146">
        <v>1</v>
      </c>
      <c r="H146">
        <v>0</v>
      </c>
      <c r="I146">
        <v>1</v>
      </c>
      <c r="J146">
        <v>0</v>
      </c>
      <c r="K146">
        <v>0</v>
      </c>
      <c r="L146" s="2">
        <v>2006</v>
      </c>
      <c r="M146" s="2">
        <v>2024</v>
      </c>
      <c r="N146">
        <f t="shared" si="8"/>
        <v>18</v>
      </c>
      <c r="O146">
        <f t="shared" si="7"/>
        <v>1</v>
      </c>
      <c r="P146">
        <v>1</v>
      </c>
      <c r="Q146">
        <v>0</v>
      </c>
      <c r="R146">
        <v>0</v>
      </c>
      <c r="S146">
        <v>4</v>
      </c>
      <c r="T146">
        <v>0</v>
      </c>
    </row>
    <row r="147" spans="1:20">
      <c r="A147" t="s">
        <v>164</v>
      </c>
      <c r="B147">
        <v>287</v>
      </c>
      <c r="C147">
        <v>0</v>
      </c>
      <c r="D147">
        <v>4</v>
      </c>
      <c r="E147">
        <v>0</v>
      </c>
      <c r="F147">
        <v>0</v>
      </c>
      <c r="G147">
        <v>1</v>
      </c>
      <c r="H147">
        <v>0</v>
      </c>
      <c r="I147">
        <v>1</v>
      </c>
      <c r="J147">
        <v>0</v>
      </c>
      <c r="K147">
        <v>0</v>
      </c>
      <c r="L147" s="2">
        <v>2000</v>
      </c>
      <c r="M147" s="2">
        <v>2024</v>
      </c>
      <c r="N147">
        <f t="shared" si="8"/>
        <v>24</v>
      </c>
      <c r="O147">
        <f t="shared" si="7"/>
        <v>1</v>
      </c>
      <c r="P147">
        <v>0</v>
      </c>
      <c r="Q147">
        <v>0</v>
      </c>
      <c r="R147">
        <v>0</v>
      </c>
      <c r="S147">
        <v>4</v>
      </c>
      <c r="T147">
        <v>0</v>
      </c>
    </row>
    <row r="148" spans="1:20">
      <c r="A148" t="s">
        <v>165</v>
      </c>
      <c r="B148">
        <v>285</v>
      </c>
      <c r="C148">
        <v>0</v>
      </c>
      <c r="D148">
        <v>4</v>
      </c>
      <c r="E148">
        <v>0</v>
      </c>
      <c r="F148">
        <v>0</v>
      </c>
      <c r="G148">
        <v>2</v>
      </c>
      <c r="H148">
        <v>0</v>
      </c>
      <c r="I148">
        <v>1</v>
      </c>
      <c r="J148">
        <v>0</v>
      </c>
      <c r="K148">
        <v>0</v>
      </c>
      <c r="L148" s="2">
        <v>1972</v>
      </c>
      <c r="M148" s="2">
        <v>1997</v>
      </c>
      <c r="N148">
        <f t="shared" si="8"/>
        <v>25</v>
      </c>
      <c r="O148">
        <f t="shared" si="7"/>
        <v>0</v>
      </c>
      <c r="P148">
        <v>0</v>
      </c>
      <c r="Q148">
        <v>0</v>
      </c>
      <c r="R148">
        <v>0</v>
      </c>
      <c r="S148">
        <v>4</v>
      </c>
      <c r="T148">
        <v>0</v>
      </c>
    </row>
    <row r="149" spans="1:20">
      <c r="A149" t="s">
        <v>166</v>
      </c>
      <c r="B149">
        <v>255</v>
      </c>
      <c r="C149">
        <v>1</v>
      </c>
      <c r="D149">
        <v>3</v>
      </c>
      <c r="E149">
        <v>0</v>
      </c>
      <c r="F149">
        <v>0</v>
      </c>
      <c r="G149">
        <v>2</v>
      </c>
      <c r="H149">
        <v>1</v>
      </c>
      <c r="I149">
        <v>1</v>
      </c>
      <c r="J149">
        <v>0</v>
      </c>
      <c r="K149">
        <v>0</v>
      </c>
      <c r="L149">
        <v>1985</v>
      </c>
      <c r="M149">
        <v>1996</v>
      </c>
      <c r="N149">
        <f t="shared" si="8"/>
        <v>11</v>
      </c>
      <c r="O149">
        <f t="shared" si="7"/>
        <v>0</v>
      </c>
      <c r="P149" t="s">
        <v>20</v>
      </c>
      <c r="Q149">
        <v>0</v>
      </c>
      <c r="R149">
        <v>0</v>
      </c>
      <c r="S149">
        <v>4</v>
      </c>
      <c r="T149">
        <v>0</v>
      </c>
    </row>
    <row r="150" spans="1:20">
      <c r="A150" t="s">
        <v>167</v>
      </c>
      <c r="B150">
        <v>256</v>
      </c>
      <c r="C150">
        <v>1</v>
      </c>
      <c r="D150">
        <v>2</v>
      </c>
      <c r="E150">
        <v>0</v>
      </c>
      <c r="F150">
        <v>0</v>
      </c>
      <c r="G150">
        <v>1</v>
      </c>
      <c r="H150">
        <v>1</v>
      </c>
      <c r="I150">
        <v>1</v>
      </c>
      <c r="J150">
        <v>1</v>
      </c>
      <c r="K150">
        <v>0</v>
      </c>
      <c r="L150">
        <v>1996</v>
      </c>
      <c r="M150">
        <v>2024</v>
      </c>
      <c r="N150">
        <f t="shared" si="8"/>
        <v>28</v>
      </c>
      <c r="O150">
        <f t="shared" si="7"/>
        <v>1</v>
      </c>
      <c r="P150" t="s">
        <v>20</v>
      </c>
      <c r="Q150">
        <v>0</v>
      </c>
      <c r="R150">
        <v>0</v>
      </c>
      <c r="S150">
        <v>4</v>
      </c>
      <c r="T150">
        <v>0</v>
      </c>
    </row>
    <row r="151" spans="1:20">
      <c r="A151" t="s">
        <v>168</v>
      </c>
      <c r="B151">
        <v>201</v>
      </c>
      <c r="C151">
        <v>1</v>
      </c>
      <c r="D151">
        <v>4</v>
      </c>
      <c r="E151">
        <v>0</v>
      </c>
      <c r="F151">
        <v>0</v>
      </c>
      <c r="G151">
        <v>2</v>
      </c>
      <c r="H151">
        <v>1</v>
      </c>
      <c r="I151">
        <v>1</v>
      </c>
      <c r="J151">
        <v>0</v>
      </c>
      <c r="K151">
        <v>0</v>
      </c>
      <c r="L151">
        <v>1961</v>
      </c>
      <c r="M151">
        <v>2024</v>
      </c>
      <c r="N151">
        <f t="shared" si="8"/>
        <v>63</v>
      </c>
      <c r="O151">
        <f t="shared" si="7"/>
        <v>1</v>
      </c>
      <c r="P151">
        <v>1</v>
      </c>
      <c r="Q151">
        <v>0</v>
      </c>
      <c r="R151">
        <v>0</v>
      </c>
      <c r="S151">
        <v>4</v>
      </c>
      <c r="T151">
        <v>0</v>
      </c>
    </row>
    <row r="152" spans="1:20">
      <c r="A152" t="s">
        <v>169</v>
      </c>
      <c r="B152">
        <v>185</v>
      </c>
      <c r="C152">
        <v>0</v>
      </c>
      <c r="D152">
        <v>4</v>
      </c>
      <c r="E152">
        <v>0</v>
      </c>
      <c r="F152">
        <v>0</v>
      </c>
      <c r="G152">
        <v>1</v>
      </c>
      <c r="H152">
        <v>1</v>
      </c>
      <c r="I152">
        <v>1</v>
      </c>
      <c r="J152">
        <v>0</v>
      </c>
      <c r="K152">
        <v>0</v>
      </c>
      <c r="L152">
        <v>1988</v>
      </c>
      <c r="M152">
        <v>1995</v>
      </c>
      <c r="N152">
        <f t="shared" si="8"/>
        <v>7</v>
      </c>
      <c r="O152">
        <f t="shared" si="7"/>
        <v>0</v>
      </c>
      <c r="P152" t="s">
        <v>20</v>
      </c>
      <c r="Q152">
        <v>0</v>
      </c>
      <c r="R152">
        <v>0</v>
      </c>
      <c r="S152">
        <v>4</v>
      </c>
      <c r="T152">
        <v>0</v>
      </c>
    </row>
    <row r="153" spans="1:20">
      <c r="A153" t="s">
        <v>170</v>
      </c>
      <c r="B153">
        <v>181</v>
      </c>
      <c r="C153">
        <v>1</v>
      </c>
      <c r="D153">
        <v>4</v>
      </c>
      <c r="E153">
        <v>0</v>
      </c>
      <c r="F153">
        <v>0</v>
      </c>
      <c r="G153">
        <v>1</v>
      </c>
      <c r="H153">
        <v>1</v>
      </c>
      <c r="I153">
        <v>1</v>
      </c>
      <c r="J153">
        <v>0</v>
      </c>
      <c r="K153">
        <v>0</v>
      </c>
      <c r="L153">
        <v>1997</v>
      </c>
      <c r="M153">
        <v>2000</v>
      </c>
      <c r="N153">
        <f t="shared" si="8"/>
        <v>3</v>
      </c>
      <c r="O153">
        <f t="shared" si="7"/>
        <v>0</v>
      </c>
      <c r="P153">
        <v>0</v>
      </c>
      <c r="Q153">
        <v>0</v>
      </c>
      <c r="R153">
        <v>0</v>
      </c>
      <c r="S153">
        <v>4</v>
      </c>
      <c r="T153">
        <v>1</v>
      </c>
    </row>
    <row r="154" spans="1:20">
      <c r="A154" t="s">
        <v>171</v>
      </c>
      <c r="B154">
        <v>224</v>
      </c>
      <c r="C154">
        <v>0</v>
      </c>
      <c r="D154">
        <v>3</v>
      </c>
      <c r="E154">
        <v>0</v>
      </c>
      <c r="F154">
        <v>0</v>
      </c>
      <c r="G154">
        <v>1</v>
      </c>
      <c r="H154">
        <v>0</v>
      </c>
      <c r="I154">
        <v>1</v>
      </c>
      <c r="J154">
        <v>0</v>
      </c>
      <c r="K154">
        <v>0</v>
      </c>
      <c r="L154">
        <v>1988</v>
      </c>
      <c r="M154">
        <v>2019</v>
      </c>
      <c r="N154">
        <f t="shared" si="8"/>
        <v>31</v>
      </c>
      <c r="O154">
        <f t="shared" si="7"/>
        <v>0</v>
      </c>
      <c r="P154" t="s">
        <v>20</v>
      </c>
      <c r="Q154">
        <v>0</v>
      </c>
      <c r="R154">
        <v>0</v>
      </c>
      <c r="S154">
        <v>4</v>
      </c>
      <c r="T154">
        <v>0</v>
      </c>
    </row>
    <row r="155" spans="1:20">
      <c r="A155" t="s">
        <v>172</v>
      </c>
      <c r="B155">
        <v>880</v>
      </c>
      <c r="C155">
        <v>1</v>
      </c>
      <c r="D155">
        <v>1</v>
      </c>
      <c r="E155">
        <v>0</v>
      </c>
      <c r="F155">
        <v>0</v>
      </c>
      <c r="G155">
        <v>1</v>
      </c>
      <c r="H155">
        <v>0</v>
      </c>
      <c r="I155">
        <v>1</v>
      </c>
      <c r="J155">
        <v>0</v>
      </c>
      <c r="K155">
        <v>0</v>
      </c>
      <c r="L155">
        <v>1989</v>
      </c>
      <c r="M155">
        <v>2024</v>
      </c>
      <c r="N155">
        <f t="shared" si="8"/>
        <v>35</v>
      </c>
      <c r="O155">
        <f t="shared" si="7"/>
        <v>1</v>
      </c>
      <c r="P155">
        <v>0</v>
      </c>
      <c r="Q155">
        <v>0</v>
      </c>
      <c r="R155">
        <v>0</v>
      </c>
      <c r="S155">
        <v>4</v>
      </c>
      <c r="T155">
        <v>0</v>
      </c>
    </row>
    <row r="156" spans="1:20">
      <c r="A156" t="s">
        <v>173</v>
      </c>
      <c r="B156">
        <v>190</v>
      </c>
      <c r="C156">
        <v>0</v>
      </c>
      <c r="D156">
        <v>4</v>
      </c>
      <c r="E156">
        <v>0</v>
      </c>
      <c r="F156">
        <v>0</v>
      </c>
      <c r="G156">
        <v>1</v>
      </c>
      <c r="H156">
        <v>0</v>
      </c>
      <c r="I156">
        <v>1</v>
      </c>
      <c r="J156">
        <v>0</v>
      </c>
      <c r="K156">
        <v>0</v>
      </c>
      <c r="L156">
        <v>1958</v>
      </c>
      <c r="M156">
        <v>2024</v>
      </c>
      <c r="N156">
        <f t="shared" si="8"/>
        <v>66</v>
      </c>
      <c r="O156">
        <f t="shared" si="7"/>
        <v>1</v>
      </c>
      <c r="P156" t="s">
        <v>20</v>
      </c>
      <c r="Q156">
        <v>0</v>
      </c>
      <c r="R156">
        <v>0</v>
      </c>
      <c r="S156">
        <v>4</v>
      </c>
      <c r="T156">
        <v>0</v>
      </c>
    </row>
    <row r="157" spans="1:20">
      <c r="A157" t="s">
        <v>174</v>
      </c>
      <c r="B157">
        <v>364</v>
      </c>
      <c r="C157">
        <v>1</v>
      </c>
      <c r="D157">
        <v>3</v>
      </c>
      <c r="E157">
        <v>0</v>
      </c>
      <c r="F157">
        <v>0</v>
      </c>
      <c r="G157">
        <v>1</v>
      </c>
      <c r="H157">
        <v>1</v>
      </c>
      <c r="I157">
        <v>1</v>
      </c>
      <c r="J157">
        <v>0</v>
      </c>
      <c r="K157">
        <v>0</v>
      </c>
      <c r="L157">
        <v>1989</v>
      </c>
      <c r="M157">
        <v>2024</v>
      </c>
      <c r="N157">
        <f t="shared" si="8"/>
        <v>35</v>
      </c>
      <c r="O157">
        <f t="shared" si="7"/>
        <v>1</v>
      </c>
      <c r="P157" t="s">
        <v>20</v>
      </c>
      <c r="Q157">
        <v>0</v>
      </c>
      <c r="R157">
        <v>0</v>
      </c>
      <c r="S157">
        <v>4</v>
      </c>
      <c r="T157">
        <v>0</v>
      </c>
    </row>
    <row r="158" spans="1:20">
      <c r="A158" t="s">
        <v>175</v>
      </c>
      <c r="B158">
        <v>187</v>
      </c>
      <c r="C158">
        <v>0</v>
      </c>
      <c r="D158">
        <v>1</v>
      </c>
      <c r="E158">
        <v>0</v>
      </c>
      <c r="F158">
        <v>0</v>
      </c>
      <c r="G158">
        <v>1</v>
      </c>
      <c r="H158">
        <v>0</v>
      </c>
      <c r="I158">
        <v>1</v>
      </c>
      <c r="J158">
        <v>0</v>
      </c>
      <c r="K158">
        <v>0</v>
      </c>
      <c r="L158">
        <v>1982</v>
      </c>
      <c r="M158">
        <v>1998</v>
      </c>
      <c r="N158">
        <f t="shared" si="8"/>
        <v>16</v>
      </c>
      <c r="O158">
        <f t="shared" si="7"/>
        <v>0</v>
      </c>
      <c r="P158">
        <v>0</v>
      </c>
      <c r="Q158">
        <v>0</v>
      </c>
      <c r="R158">
        <v>0</v>
      </c>
      <c r="S158">
        <v>4</v>
      </c>
      <c r="T158">
        <v>1</v>
      </c>
    </row>
    <row r="159" spans="1:20">
      <c r="A159" t="s">
        <v>176</v>
      </c>
      <c r="B159">
        <v>180</v>
      </c>
      <c r="C159">
        <v>1</v>
      </c>
      <c r="D159">
        <v>3</v>
      </c>
      <c r="E159">
        <v>0</v>
      </c>
      <c r="F159">
        <v>0</v>
      </c>
      <c r="G159">
        <v>1</v>
      </c>
      <c r="H159">
        <v>1</v>
      </c>
      <c r="I159">
        <v>0</v>
      </c>
      <c r="J159">
        <v>1</v>
      </c>
      <c r="K159">
        <v>0</v>
      </c>
      <c r="L159">
        <v>1957</v>
      </c>
      <c r="M159">
        <v>2024</v>
      </c>
      <c r="N159">
        <f t="shared" si="8"/>
        <v>67</v>
      </c>
      <c r="O159">
        <f t="shared" si="7"/>
        <v>1</v>
      </c>
      <c r="P159">
        <v>0</v>
      </c>
      <c r="Q159">
        <v>0</v>
      </c>
      <c r="R159">
        <v>0</v>
      </c>
      <c r="S159">
        <v>4</v>
      </c>
      <c r="T159">
        <v>0</v>
      </c>
    </row>
    <row r="160" spans="1:20">
      <c r="A160" t="s">
        <v>177</v>
      </c>
      <c r="B160">
        <v>225</v>
      </c>
      <c r="C160">
        <v>1</v>
      </c>
      <c r="D160">
        <v>4</v>
      </c>
      <c r="E160">
        <v>0</v>
      </c>
      <c r="F160">
        <v>0</v>
      </c>
      <c r="G160">
        <v>1</v>
      </c>
      <c r="H160">
        <v>1</v>
      </c>
      <c r="I160">
        <v>1</v>
      </c>
      <c r="J160">
        <v>0</v>
      </c>
      <c r="K160">
        <v>0</v>
      </c>
      <c r="L160">
        <v>1975</v>
      </c>
      <c r="M160">
        <v>2012</v>
      </c>
      <c r="N160">
        <f t="shared" si="8"/>
        <v>37</v>
      </c>
      <c r="O160">
        <f t="shared" si="7"/>
        <v>0</v>
      </c>
      <c r="P160">
        <v>0</v>
      </c>
      <c r="Q160">
        <v>0</v>
      </c>
      <c r="R160">
        <v>0</v>
      </c>
      <c r="S160">
        <v>4</v>
      </c>
      <c r="T160">
        <v>0</v>
      </c>
    </row>
    <row r="161" spans="1:20">
      <c r="A161" t="s">
        <v>178</v>
      </c>
      <c r="B161">
        <v>320</v>
      </c>
      <c r="C161">
        <v>1</v>
      </c>
      <c r="D161">
        <v>4</v>
      </c>
      <c r="E161">
        <v>0</v>
      </c>
      <c r="F161">
        <v>1</v>
      </c>
      <c r="G161">
        <v>2</v>
      </c>
      <c r="H161">
        <v>1</v>
      </c>
      <c r="I161">
        <v>1</v>
      </c>
      <c r="J161">
        <v>1</v>
      </c>
      <c r="K161">
        <v>0</v>
      </c>
      <c r="L161">
        <v>1975</v>
      </c>
      <c r="M161">
        <v>2009</v>
      </c>
      <c r="N161">
        <f t="shared" si="8"/>
        <v>34</v>
      </c>
      <c r="O161">
        <f t="shared" si="7"/>
        <v>0</v>
      </c>
      <c r="P161">
        <v>0</v>
      </c>
      <c r="Q161">
        <v>0</v>
      </c>
      <c r="R161">
        <v>0</v>
      </c>
      <c r="S161">
        <v>4</v>
      </c>
      <c r="T161">
        <v>0</v>
      </c>
    </row>
    <row r="162" spans="1:20">
      <c r="A162" t="s">
        <v>179</v>
      </c>
      <c r="B162">
        <v>281</v>
      </c>
      <c r="C162">
        <v>0</v>
      </c>
      <c r="D162">
        <v>4</v>
      </c>
      <c r="E162">
        <v>0</v>
      </c>
      <c r="F162">
        <v>0</v>
      </c>
      <c r="G162">
        <v>2</v>
      </c>
      <c r="H162">
        <v>1</v>
      </c>
      <c r="I162">
        <v>0</v>
      </c>
      <c r="J162">
        <v>0</v>
      </c>
      <c r="K162">
        <v>0</v>
      </c>
      <c r="L162">
        <v>1965</v>
      </c>
      <c r="M162">
        <v>1987</v>
      </c>
      <c r="N162">
        <f t="shared" si="8"/>
        <v>22</v>
      </c>
      <c r="O162">
        <f t="shared" ref="O162:O183" si="9">IF(M162=2024,1,IF(M162&lt;2024,0))</f>
        <v>0</v>
      </c>
      <c r="P162">
        <v>0</v>
      </c>
      <c r="Q162">
        <v>0</v>
      </c>
      <c r="R162">
        <v>0</v>
      </c>
      <c r="S162">
        <v>4</v>
      </c>
      <c r="T162">
        <v>0</v>
      </c>
    </row>
    <row r="163" spans="1:20">
      <c r="A163" t="s">
        <v>180</v>
      </c>
      <c r="B163">
        <v>322</v>
      </c>
      <c r="C163">
        <v>0</v>
      </c>
      <c r="D163">
        <v>4</v>
      </c>
      <c r="E163">
        <v>0</v>
      </c>
      <c r="F163">
        <v>0</v>
      </c>
      <c r="G163">
        <v>1</v>
      </c>
      <c r="H163">
        <v>1</v>
      </c>
      <c r="I163">
        <v>1</v>
      </c>
      <c r="J163">
        <v>0</v>
      </c>
      <c r="K163">
        <v>0</v>
      </c>
      <c r="L163">
        <v>1985</v>
      </c>
      <c r="M163">
        <v>2024</v>
      </c>
      <c r="N163">
        <f t="shared" si="8"/>
        <v>39</v>
      </c>
      <c r="O163">
        <f t="shared" si="9"/>
        <v>1</v>
      </c>
      <c r="P163">
        <v>0</v>
      </c>
      <c r="Q163">
        <v>0</v>
      </c>
      <c r="R163">
        <v>0</v>
      </c>
      <c r="S163">
        <v>4</v>
      </c>
      <c r="T163">
        <v>0</v>
      </c>
    </row>
    <row r="164" spans="1:20">
      <c r="A164" t="s">
        <v>181</v>
      </c>
      <c r="B164">
        <v>258</v>
      </c>
      <c r="C164">
        <v>1</v>
      </c>
      <c r="D164">
        <v>4</v>
      </c>
      <c r="E164">
        <v>0</v>
      </c>
      <c r="F164">
        <v>0</v>
      </c>
      <c r="G164">
        <v>2</v>
      </c>
      <c r="H164">
        <v>1</v>
      </c>
      <c r="I164">
        <v>1</v>
      </c>
      <c r="J164">
        <v>1</v>
      </c>
      <c r="K164">
        <v>0</v>
      </c>
      <c r="L164">
        <v>1995</v>
      </c>
      <c r="M164">
        <v>2018</v>
      </c>
      <c r="N164">
        <f t="shared" si="8"/>
        <v>23</v>
      </c>
      <c r="O164">
        <f t="shared" si="9"/>
        <v>0</v>
      </c>
      <c r="P164">
        <v>1</v>
      </c>
      <c r="Q164">
        <v>0</v>
      </c>
      <c r="R164">
        <v>0</v>
      </c>
      <c r="S164">
        <v>4</v>
      </c>
      <c r="T164">
        <v>0</v>
      </c>
    </row>
    <row r="165" spans="1:20">
      <c r="A165" t="s">
        <v>182</v>
      </c>
      <c r="B165">
        <v>365</v>
      </c>
      <c r="C165">
        <v>0</v>
      </c>
      <c r="D165">
        <v>4</v>
      </c>
      <c r="E165">
        <v>1</v>
      </c>
      <c r="F165">
        <v>0</v>
      </c>
      <c r="G165">
        <v>2</v>
      </c>
      <c r="H165">
        <v>1</v>
      </c>
      <c r="I165">
        <v>1</v>
      </c>
      <c r="J165">
        <v>0</v>
      </c>
      <c r="K165">
        <v>0</v>
      </c>
      <c r="L165">
        <v>2001</v>
      </c>
      <c r="M165">
        <v>2024</v>
      </c>
      <c r="N165">
        <f t="shared" si="8"/>
        <v>23</v>
      </c>
      <c r="O165">
        <f t="shared" si="9"/>
        <v>1</v>
      </c>
      <c r="P165">
        <v>0</v>
      </c>
      <c r="Q165">
        <v>0</v>
      </c>
      <c r="R165">
        <v>0</v>
      </c>
      <c r="S165">
        <v>4</v>
      </c>
      <c r="T165">
        <v>1</v>
      </c>
    </row>
    <row r="166" spans="1:20">
      <c r="A166" t="s">
        <v>183</v>
      </c>
      <c r="B166">
        <v>270</v>
      </c>
      <c r="C166" t="s">
        <v>20</v>
      </c>
      <c r="D166">
        <v>4</v>
      </c>
      <c r="E166">
        <v>0</v>
      </c>
      <c r="F166">
        <v>0</v>
      </c>
      <c r="G166">
        <v>2</v>
      </c>
      <c r="H166">
        <v>1</v>
      </c>
      <c r="I166">
        <v>0</v>
      </c>
      <c r="J166">
        <v>1</v>
      </c>
      <c r="K166">
        <v>0</v>
      </c>
      <c r="L166">
        <v>1951</v>
      </c>
      <c r="M166">
        <v>1999</v>
      </c>
      <c r="N166">
        <f t="shared" si="8"/>
        <v>48</v>
      </c>
      <c r="O166">
        <f t="shared" si="9"/>
        <v>0</v>
      </c>
      <c r="P166" t="s">
        <v>20</v>
      </c>
      <c r="Q166">
        <v>0</v>
      </c>
      <c r="R166">
        <v>1</v>
      </c>
      <c r="S166">
        <v>4</v>
      </c>
      <c r="T166">
        <v>0</v>
      </c>
    </row>
    <row r="167" spans="1:20">
      <c r="A167" t="s">
        <v>184</v>
      </c>
      <c r="B167">
        <v>272</v>
      </c>
      <c r="C167">
        <v>0</v>
      </c>
      <c r="D167">
        <v>3</v>
      </c>
      <c r="E167">
        <v>0</v>
      </c>
      <c r="F167">
        <v>0</v>
      </c>
      <c r="G167">
        <v>2</v>
      </c>
      <c r="H167">
        <v>1</v>
      </c>
      <c r="I167">
        <v>1</v>
      </c>
      <c r="J167">
        <v>0</v>
      </c>
      <c r="K167">
        <v>0</v>
      </c>
      <c r="L167">
        <v>1979</v>
      </c>
      <c r="M167">
        <v>1993</v>
      </c>
      <c r="N167">
        <f t="shared" si="8"/>
        <v>14</v>
      </c>
      <c r="O167">
        <f t="shared" si="9"/>
        <v>0</v>
      </c>
      <c r="P167">
        <v>1</v>
      </c>
      <c r="Q167">
        <v>0</v>
      </c>
      <c r="R167">
        <v>0</v>
      </c>
      <c r="S167">
        <v>4</v>
      </c>
      <c r="T167">
        <v>0</v>
      </c>
    </row>
    <row r="168" spans="1:20">
      <c r="A168" t="s">
        <v>185</v>
      </c>
      <c r="B168">
        <v>246</v>
      </c>
      <c r="C168">
        <v>1</v>
      </c>
      <c r="D168">
        <v>4</v>
      </c>
      <c r="E168">
        <v>0</v>
      </c>
      <c r="F168">
        <v>0</v>
      </c>
      <c r="G168">
        <v>2</v>
      </c>
      <c r="H168">
        <v>0</v>
      </c>
      <c r="I168">
        <v>0</v>
      </c>
      <c r="J168">
        <v>0</v>
      </c>
      <c r="K168">
        <v>0</v>
      </c>
      <c r="L168" s="2">
        <v>1989</v>
      </c>
      <c r="M168" s="2">
        <v>1990</v>
      </c>
      <c r="N168">
        <f t="shared" si="8"/>
        <v>1</v>
      </c>
      <c r="O168">
        <f t="shared" si="9"/>
        <v>0</v>
      </c>
      <c r="P168">
        <v>0</v>
      </c>
      <c r="Q168">
        <v>0</v>
      </c>
      <c r="R168">
        <v>0</v>
      </c>
      <c r="S168">
        <v>4</v>
      </c>
      <c r="T168">
        <v>0</v>
      </c>
    </row>
    <row r="169" spans="1:20">
      <c r="A169" t="s">
        <v>186</v>
      </c>
      <c r="B169">
        <v>279</v>
      </c>
      <c r="C169">
        <v>0</v>
      </c>
      <c r="D169">
        <v>4</v>
      </c>
      <c r="E169">
        <v>1</v>
      </c>
      <c r="F169">
        <v>0</v>
      </c>
      <c r="G169">
        <v>1</v>
      </c>
      <c r="H169">
        <v>0</v>
      </c>
      <c r="I169" t="s">
        <v>20</v>
      </c>
      <c r="J169">
        <v>0</v>
      </c>
      <c r="K169">
        <v>0</v>
      </c>
      <c r="L169" s="2">
        <v>1972</v>
      </c>
      <c r="M169" s="2">
        <v>1996</v>
      </c>
      <c r="N169">
        <f t="shared" si="8"/>
        <v>24</v>
      </c>
      <c r="O169">
        <f t="shared" si="9"/>
        <v>0</v>
      </c>
      <c r="P169">
        <v>0</v>
      </c>
      <c r="Q169">
        <v>0</v>
      </c>
      <c r="R169">
        <v>0</v>
      </c>
      <c r="S169">
        <v>4</v>
      </c>
      <c r="T169">
        <v>0</v>
      </c>
    </row>
    <row r="170" spans="1:20">
      <c r="A170" t="s">
        <v>187</v>
      </c>
      <c r="B170">
        <v>277</v>
      </c>
      <c r="C170">
        <v>1</v>
      </c>
      <c r="D170">
        <v>3</v>
      </c>
      <c r="E170">
        <v>1</v>
      </c>
      <c r="F170">
        <v>0</v>
      </c>
      <c r="G170">
        <v>1</v>
      </c>
      <c r="H170">
        <v>1</v>
      </c>
      <c r="I170">
        <v>1</v>
      </c>
      <c r="J170">
        <v>1</v>
      </c>
      <c r="K170">
        <v>0</v>
      </c>
      <c r="L170" s="2">
        <v>1989</v>
      </c>
      <c r="M170" s="2">
        <v>2024</v>
      </c>
      <c r="N170">
        <f t="shared" si="8"/>
        <v>35</v>
      </c>
      <c r="O170">
        <f t="shared" si="9"/>
        <v>1</v>
      </c>
      <c r="P170">
        <v>1</v>
      </c>
      <c r="Q170">
        <v>0</v>
      </c>
      <c r="R170">
        <v>0</v>
      </c>
      <c r="S170">
        <v>4</v>
      </c>
      <c r="T170">
        <v>1</v>
      </c>
    </row>
    <row r="171" spans="1:20">
      <c r="A171" t="s">
        <v>188</v>
      </c>
      <c r="B171">
        <v>276</v>
      </c>
      <c r="C171">
        <v>0</v>
      </c>
      <c r="D171">
        <v>4</v>
      </c>
      <c r="E171">
        <v>1</v>
      </c>
      <c r="F171">
        <v>0</v>
      </c>
      <c r="G171">
        <v>2</v>
      </c>
      <c r="H171">
        <v>1</v>
      </c>
      <c r="I171">
        <v>1</v>
      </c>
      <c r="J171">
        <v>0</v>
      </c>
      <c r="K171">
        <v>0</v>
      </c>
      <c r="L171" s="2">
        <v>1977</v>
      </c>
      <c r="M171" s="2">
        <v>2014</v>
      </c>
      <c r="N171">
        <f t="shared" si="8"/>
        <v>37</v>
      </c>
      <c r="O171">
        <f t="shared" si="9"/>
        <v>0</v>
      </c>
      <c r="P171">
        <v>1</v>
      </c>
      <c r="Q171">
        <v>0</v>
      </c>
      <c r="R171">
        <v>0</v>
      </c>
      <c r="S171">
        <v>4</v>
      </c>
      <c r="T171">
        <v>1</v>
      </c>
    </row>
    <row r="172" spans="1:20">
      <c r="A172" t="s">
        <v>189</v>
      </c>
      <c r="B172">
        <v>278</v>
      </c>
      <c r="C172">
        <v>0</v>
      </c>
      <c r="D172">
        <v>4</v>
      </c>
      <c r="E172">
        <v>1</v>
      </c>
      <c r="F172">
        <v>0</v>
      </c>
      <c r="G172">
        <v>1</v>
      </c>
      <c r="H172">
        <v>0</v>
      </c>
      <c r="I172">
        <v>1</v>
      </c>
      <c r="J172">
        <v>0</v>
      </c>
      <c r="K172">
        <v>0</v>
      </c>
      <c r="L172" s="2">
        <v>2001</v>
      </c>
      <c r="M172" s="2">
        <v>2013</v>
      </c>
      <c r="N172">
        <f t="shared" si="8"/>
        <v>12</v>
      </c>
      <c r="O172">
        <f t="shared" si="9"/>
        <v>0</v>
      </c>
      <c r="P172">
        <v>0</v>
      </c>
      <c r="Q172">
        <v>0</v>
      </c>
      <c r="R172">
        <v>0</v>
      </c>
      <c r="S172">
        <v>4</v>
      </c>
      <c r="T172">
        <v>0</v>
      </c>
    </row>
    <row r="173" spans="1:20">
      <c r="A173" t="s">
        <v>190</v>
      </c>
      <c r="B173">
        <v>275</v>
      </c>
      <c r="C173">
        <v>0</v>
      </c>
      <c r="D173">
        <v>4</v>
      </c>
      <c r="E173">
        <v>1</v>
      </c>
      <c r="F173">
        <v>0</v>
      </c>
      <c r="G173">
        <v>2</v>
      </c>
      <c r="H173">
        <v>1</v>
      </c>
      <c r="I173">
        <v>1</v>
      </c>
      <c r="J173">
        <v>0</v>
      </c>
      <c r="K173">
        <v>0</v>
      </c>
      <c r="L173" s="2">
        <v>1969</v>
      </c>
      <c r="M173" s="2">
        <v>1996</v>
      </c>
      <c r="N173">
        <f t="shared" si="8"/>
        <v>27</v>
      </c>
      <c r="O173">
        <f t="shared" si="9"/>
        <v>0</v>
      </c>
      <c r="P173">
        <v>1</v>
      </c>
      <c r="Q173">
        <v>0</v>
      </c>
      <c r="R173">
        <v>0</v>
      </c>
      <c r="S173">
        <v>4</v>
      </c>
      <c r="T173">
        <v>0</v>
      </c>
    </row>
    <row r="174" spans="1:20">
      <c r="A174" t="s">
        <v>191</v>
      </c>
      <c r="B174">
        <v>290</v>
      </c>
      <c r="C174">
        <v>0</v>
      </c>
      <c r="D174">
        <v>4</v>
      </c>
      <c r="E174">
        <v>0</v>
      </c>
      <c r="F174">
        <v>0</v>
      </c>
      <c r="G174">
        <v>2</v>
      </c>
      <c r="H174">
        <v>0</v>
      </c>
      <c r="I174">
        <v>1</v>
      </c>
      <c r="J174">
        <v>0</v>
      </c>
      <c r="K174">
        <v>0</v>
      </c>
      <c r="L174" s="2">
        <v>1974</v>
      </c>
      <c r="M174" s="2">
        <v>1975</v>
      </c>
      <c r="N174">
        <f t="shared" si="8"/>
        <v>1</v>
      </c>
      <c r="O174">
        <f t="shared" si="9"/>
        <v>0</v>
      </c>
      <c r="P174" t="s">
        <v>20</v>
      </c>
      <c r="Q174">
        <v>0</v>
      </c>
      <c r="R174">
        <v>0</v>
      </c>
      <c r="S174">
        <v>4</v>
      </c>
      <c r="T174">
        <v>0</v>
      </c>
    </row>
    <row r="175" spans="1:20">
      <c r="A175" t="s">
        <v>192</v>
      </c>
      <c r="B175">
        <v>327</v>
      </c>
      <c r="C175">
        <v>1</v>
      </c>
      <c r="D175">
        <v>3</v>
      </c>
      <c r="E175">
        <v>0</v>
      </c>
      <c r="F175">
        <v>0</v>
      </c>
      <c r="G175">
        <v>2</v>
      </c>
      <c r="H175">
        <v>0</v>
      </c>
      <c r="I175">
        <v>1</v>
      </c>
      <c r="J175">
        <v>1</v>
      </c>
      <c r="K175">
        <v>0</v>
      </c>
      <c r="L175" s="2">
        <v>1976</v>
      </c>
      <c r="M175" s="2">
        <v>2005</v>
      </c>
      <c r="N175">
        <f t="shared" si="8"/>
        <v>29</v>
      </c>
      <c r="O175">
        <f t="shared" si="9"/>
        <v>0</v>
      </c>
      <c r="P175">
        <v>0</v>
      </c>
      <c r="Q175">
        <v>0</v>
      </c>
      <c r="R175">
        <v>0</v>
      </c>
      <c r="S175">
        <v>1</v>
      </c>
      <c r="T175">
        <v>0</v>
      </c>
    </row>
    <row r="176" spans="1:20">
      <c r="A176" t="s">
        <v>163</v>
      </c>
      <c r="B176">
        <v>328</v>
      </c>
      <c r="C176">
        <v>1</v>
      </c>
      <c r="D176">
        <v>3</v>
      </c>
      <c r="E176">
        <v>0</v>
      </c>
      <c r="F176">
        <v>0</v>
      </c>
      <c r="G176">
        <v>3</v>
      </c>
      <c r="H176">
        <v>0</v>
      </c>
      <c r="I176">
        <v>0</v>
      </c>
      <c r="J176">
        <v>1</v>
      </c>
      <c r="K176">
        <v>0</v>
      </c>
      <c r="L176" s="2">
        <v>1989</v>
      </c>
      <c r="M176" s="2">
        <v>1997</v>
      </c>
      <c r="N176">
        <f t="shared" si="8"/>
        <v>8</v>
      </c>
      <c r="O176">
        <f t="shared" si="9"/>
        <v>0</v>
      </c>
      <c r="P176">
        <v>0</v>
      </c>
      <c r="Q176">
        <v>0</v>
      </c>
      <c r="R176">
        <v>0</v>
      </c>
      <c r="S176">
        <v>1</v>
      </c>
      <c r="T176">
        <v>0</v>
      </c>
    </row>
    <row r="177" spans="1:20">
      <c r="A177" s="3" t="s">
        <v>193</v>
      </c>
      <c r="B177">
        <v>488</v>
      </c>
      <c r="C177">
        <v>1</v>
      </c>
      <c r="D177">
        <v>1</v>
      </c>
      <c r="E177">
        <v>0</v>
      </c>
      <c r="F177">
        <v>0</v>
      </c>
      <c r="G177">
        <v>2</v>
      </c>
      <c r="H177">
        <v>1</v>
      </c>
      <c r="I177">
        <v>0</v>
      </c>
      <c r="J177">
        <v>1</v>
      </c>
      <c r="K177">
        <v>1</v>
      </c>
      <c r="L177" s="2">
        <v>1988</v>
      </c>
      <c r="M177" s="2">
        <v>2014</v>
      </c>
      <c r="N177">
        <f t="shared" si="8"/>
        <v>26</v>
      </c>
      <c r="O177">
        <f t="shared" si="9"/>
        <v>0</v>
      </c>
      <c r="P177">
        <v>1</v>
      </c>
      <c r="Q177">
        <v>0</v>
      </c>
      <c r="R177">
        <v>1</v>
      </c>
      <c r="S177">
        <v>1</v>
      </c>
      <c r="T177">
        <v>1</v>
      </c>
    </row>
    <row r="178" spans="1:20">
      <c r="A178" s="3" t="s">
        <v>194</v>
      </c>
      <c r="B178" t="s">
        <v>20</v>
      </c>
      <c r="C178">
        <v>0</v>
      </c>
      <c r="D178">
        <v>3</v>
      </c>
      <c r="E178">
        <v>1</v>
      </c>
      <c r="F178">
        <v>0</v>
      </c>
      <c r="G178">
        <v>2</v>
      </c>
      <c r="H178">
        <v>1</v>
      </c>
      <c r="I178">
        <v>0</v>
      </c>
      <c r="J178">
        <v>1</v>
      </c>
      <c r="K178">
        <v>1</v>
      </c>
      <c r="L178" s="2">
        <v>1989</v>
      </c>
      <c r="M178" s="2">
        <v>2024</v>
      </c>
      <c r="N178">
        <f t="shared" si="8"/>
        <v>35</v>
      </c>
      <c r="O178">
        <f t="shared" si="9"/>
        <v>1</v>
      </c>
      <c r="P178">
        <v>1</v>
      </c>
      <c r="Q178">
        <v>0</v>
      </c>
      <c r="R178">
        <v>0</v>
      </c>
      <c r="S178">
        <v>4</v>
      </c>
      <c r="T178">
        <v>1</v>
      </c>
    </row>
    <row r="179" spans="1:20">
      <c r="A179" s="3" t="s">
        <v>195</v>
      </c>
      <c r="B179">
        <v>1091</v>
      </c>
      <c r="C179">
        <v>1</v>
      </c>
      <c r="D179">
        <v>3</v>
      </c>
      <c r="E179">
        <v>1</v>
      </c>
      <c r="F179">
        <v>0</v>
      </c>
      <c r="G179">
        <v>4</v>
      </c>
      <c r="H179">
        <v>1</v>
      </c>
      <c r="I179">
        <v>1</v>
      </c>
      <c r="J179">
        <v>1</v>
      </c>
      <c r="K179">
        <v>1</v>
      </c>
      <c r="L179" s="2">
        <v>1994</v>
      </c>
      <c r="M179" s="2">
        <v>2024</v>
      </c>
      <c r="N179">
        <f t="shared" si="8"/>
        <v>30</v>
      </c>
      <c r="O179">
        <f t="shared" si="9"/>
        <v>1</v>
      </c>
      <c r="P179">
        <v>1</v>
      </c>
      <c r="Q179">
        <v>0</v>
      </c>
      <c r="R179">
        <v>0</v>
      </c>
      <c r="S179">
        <v>3</v>
      </c>
      <c r="T179">
        <v>1</v>
      </c>
    </row>
    <row r="180" spans="1:20">
      <c r="A180" s="3" t="s">
        <v>196</v>
      </c>
      <c r="B180" t="s">
        <v>20</v>
      </c>
      <c r="C180">
        <v>1</v>
      </c>
      <c r="D180">
        <v>2</v>
      </c>
      <c r="E180">
        <v>1</v>
      </c>
      <c r="F180">
        <v>0</v>
      </c>
      <c r="G180">
        <v>3</v>
      </c>
      <c r="H180" t="s">
        <v>20</v>
      </c>
      <c r="I180">
        <v>0</v>
      </c>
      <c r="J180">
        <v>1</v>
      </c>
      <c r="K180">
        <v>1</v>
      </c>
      <c r="L180" s="2">
        <v>1970</v>
      </c>
      <c r="M180" s="2">
        <v>2024</v>
      </c>
      <c r="N180">
        <f t="shared" si="8"/>
        <v>54</v>
      </c>
      <c r="O180">
        <f t="shared" si="9"/>
        <v>1</v>
      </c>
      <c r="P180">
        <v>1</v>
      </c>
      <c r="Q180">
        <v>0</v>
      </c>
      <c r="R180">
        <v>0</v>
      </c>
      <c r="S180">
        <v>4</v>
      </c>
      <c r="T180">
        <v>1</v>
      </c>
    </row>
    <row r="181" spans="1:20" ht="29">
      <c r="A181" s="4" t="s">
        <v>197</v>
      </c>
      <c r="B181" t="s">
        <v>20</v>
      </c>
      <c r="C181">
        <v>1</v>
      </c>
      <c r="D181">
        <v>3</v>
      </c>
      <c r="E181">
        <v>1</v>
      </c>
      <c r="F181">
        <v>0</v>
      </c>
      <c r="G181">
        <v>2</v>
      </c>
      <c r="H181">
        <v>1</v>
      </c>
      <c r="I181">
        <v>0</v>
      </c>
      <c r="J181">
        <v>1</v>
      </c>
      <c r="K181">
        <v>1</v>
      </c>
      <c r="L181" s="2">
        <v>1992</v>
      </c>
      <c r="M181" s="2">
        <v>2024</v>
      </c>
      <c r="N181">
        <f t="shared" si="8"/>
        <v>32</v>
      </c>
      <c r="O181">
        <f t="shared" si="9"/>
        <v>1</v>
      </c>
      <c r="P181">
        <v>1</v>
      </c>
      <c r="Q181">
        <v>0</v>
      </c>
      <c r="R181">
        <v>0</v>
      </c>
      <c r="S181">
        <v>4</v>
      </c>
      <c r="T181">
        <v>1</v>
      </c>
    </row>
    <row r="182" spans="1:20">
      <c r="A182" s="3" t="s">
        <v>198</v>
      </c>
      <c r="B182">
        <v>169</v>
      </c>
      <c r="C182">
        <v>1</v>
      </c>
      <c r="D182">
        <v>3</v>
      </c>
      <c r="E182">
        <v>0</v>
      </c>
      <c r="F182">
        <v>0</v>
      </c>
      <c r="G182">
        <v>2</v>
      </c>
      <c r="H182">
        <v>1</v>
      </c>
      <c r="I182">
        <v>1</v>
      </c>
      <c r="J182">
        <v>1</v>
      </c>
      <c r="K182">
        <v>1</v>
      </c>
      <c r="L182" s="5">
        <v>1969</v>
      </c>
      <c r="M182" s="2">
        <v>2024</v>
      </c>
      <c r="N182">
        <f t="shared" si="8"/>
        <v>55</v>
      </c>
      <c r="O182">
        <f t="shared" si="9"/>
        <v>1</v>
      </c>
      <c r="P182">
        <v>1</v>
      </c>
      <c r="Q182">
        <v>1</v>
      </c>
      <c r="R182">
        <v>0</v>
      </c>
      <c r="S182">
        <v>4</v>
      </c>
      <c r="T182">
        <v>0</v>
      </c>
    </row>
    <row r="183" spans="1:20">
      <c r="A183" s="3" t="s">
        <v>199</v>
      </c>
      <c r="B183" t="s">
        <v>20</v>
      </c>
      <c r="C183">
        <v>0</v>
      </c>
      <c r="D183">
        <v>4</v>
      </c>
      <c r="E183">
        <v>1</v>
      </c>
      <c r="F183">
        <v>0</v>
      </c>
      <c r="G183">
        <v>2</v>
      </c>
      <c r="H183" t="s">
        <v>20</v>
      </c>
      <c r="J183">
        <v>1</v>
      </c>
      <c r="K183">
        <v>1</v>
      </c>
      <c r="L183" s="2">
        <v>1986</v>
      </c>
      <c r="M183" s="2">
        <v>2024</v>
      </c>
      <c r="N183">
        <f t="shared" si="8"/>
        <v>38</v>
      </c>
      <c r="O183">
        <f t="shared" si="9"/>
        <v>1</v>
      </c>
      <c r="P183">
        <v>1</v>
      </c>
      <c r="Q183">
        <v>0</v>
      </c>
      <c r="R183">
        <v>0</v>
      </c>
      <c r="S183">
        <v>4</v>
      </c>
      <c r="T183">
        <v>1</v>
      </c>
    </row>
    <row r="184" spans="1:20">
      <c r="A184" s="3" t="s">
        <v>200</v>
      </c>
      <c r="B184">
        <v>1157</v>
      </c>
      <c r="C184">
        <v>1</v>
      </c>
      <c r="D184">
        <v>3</v>
      </c>
      <c r="E184">
        <v>1</v>
      </c>
      <c r="F184">
        <v>0</v>
      </c>
      <c r="G184">
        <v>2</v>
      </c>
      <c r="H184">
        <v>1</v>
      </c>
      <c r="I184">
        <v>0</v>
      </c>
      <c r="J184">
        <v>1</v>
      </c>
      <c r="K184">
        <v>1</v>
      </c>
      <c r="L184" s="2">
        <v>2012</v>
      </c>
      <c r="M184" s="2">
        <v>2016</v>
      </c>
      <c r="N184">
        <f t="shared" si="8"/>
        <v>4</v>
      </c>
      <c r="O184">
        <f t="shared" ref="O184:O196" si="10">IF(M184=2024,1,IF(M184&lt;2024,0))</f>
        <v>0</v>
      </c>
      <c r="P184">
        <v>1</v>
      </c>
      <c r="Q184">
        <v>0</v>
      </c>
      <c r="R184">
        <v>0</v>
      </c>
      <c r="S184">
        <v>1</v>
      </c>
      <c r="T184">
        <v>1</v>
      </c>
    </row>
    <row r="185" spans="1:20">
      <c r="A185" s="3" t="s">
        <v>201</v>
      </c>
      <c r="B185">
        <v>1161</v>
      </c>
      <c r="C185">
        <v>1</v>
      </c>
      <c r="D185">
        <v>2</v>
      </c>
      <c r="E185">
        <v>1</v>
      </c>
      <c r="F185">
        <v>0</v>
      </c>
      <c r="G185">
        <v>2</v>
      </c>
      <c r="H185">
        <v>1</v>
      </c>
      <c r="I185">
        <v>0</v>
      </c>
      <c r="J185">
        <v>1</v>
      </c>
      <c r="K185">
        <v>1</v>
      </c>
      <c r="L185" s="2">
        <v>2012</v>
      </c>
      <c r="M185" s="2">
        <v>2012</v>
      </c>
      <c r="N185">
        <f t="shared" si="8"/>
        <v>0</v>
      </c>
      <c r="O185">
        <f t="shared" si="10"/>
        <v>0</v>
      </c>
      <c r="P185">
        <v>1</v>
      </c>
      <c r="Q185">
        <v>0</v>
      </c>
      <c r="R185">
        <v>1</v>
      </c>
      <c r="S185">
        <v>1</v>
      </c>
      <c r="T185">
        <v>1</v>
      </c>
    </row>
    <row r="186" spans="1:20">
      <c r="A186" s="3" t="s">
        <v>202</v>
      </c>
      <c r="B186">
        <v>1200</v>
      </c>
      <c r="C186">
        <v>1</v>
      </c>
      <c r="D186">
        <v>1</v>
      </c>
      <c r="E186">
        <v>0</v>
      </c>
      <c r="F186">
        <v>0</v>
      </c>
      <c r="G186">
        <v>1</v>
      </c>
      <c r="H186">
        <v>1</v>
      </c>
      <c r="I186">
        <v>1</v>
      </c>
      <c r="J186">
        <v>1</v>
      </c>
      <c r="K186">
        <v>1</v>
      </c>
      <c r="L186" s="2">
        <v>2006</v>
      </c>
      <c r="M186" s="2">
        <v>2024</v>
      </c>
      <c r="N186">
        <f t="shared" si="8"/>
        <v>18</v>
      </c>
      <c r="O186">
        <f t="shared" si="10"/>
        <v>1</v>
      </c>
      <c r="P186">
        <v>1</v>
      </c>
      <c r="Q186">
        <v>0</v>
      </c>
      <c r="R186">
        <v>0</v>
      </c>
      <c r="S186">
        <v>1</v>
      </c>
      <c r="T186">
        <v>0</v>
      </c>
    </row>
    <row r="187" spans="1:20">
      <c r="A187" s="3" t="s">
        <v>203</v>
      </c>
      <c r="B187" t="s">
        <v>20</v>
      </c>
      <c r="C187" t="s">
        <v>20</v>
      </c>
      <c r="D187">
        <v>1</v>
      </c>
      <c r="E187">
        <v>0</v>
      </c>
      <c r="F187">
        <v>0</v>
      </c>
      <c r="G187">
        <v>2</v>
      </c>
      <c r="H187" t="s">
        <v>20</v>
      </c>
      <c r="I187" t="s">
        <v>20</v>
      </c>
      <c r="J187">
        <v>1</v>
      </c>
      <c r="K187">
        <v>1</v>
      </c>
      <c r="L187" s="2">
        <v>2018</v>
      </c>
      <c r="M187" s="2">
        <v>2021</v>
      </c>
      <c r="N187">
        <f t="shared" si="8"/>
        <v>3</v>
      </c>
      <c r="O187">
        <f t="shared" si="10"/>
        <v>0</v>
      </c>
      <c r="P187">
        <v>1</v>
      </c>
      <c r="Q187">
        <v>0</v>
      </c>
      <c r="R187">
        <v>0</v>
      </c>
      <c r="S187">
        <v>1</v>
      </c>
      <c r="T187">
        <v>0</v>
      </c>
    </row>
    <row r="188" spans="1:20">
      <c r="A188" s="3" t="s">
        <v>204</v>
      </c>
      <c r="B188">
        <v>6590</v>
      </c>
      <c r="C188">
        <v>1</v>
      </c>
      <c r="D188">
        <v>2</v>
      </c>
      <c r="E188">
        <v>0</v>
      </c>
      <c r="F188">
        <v>0</v>
      </c>
      <c r="G188">
        <v>1</v>
      </c>
      <c r="H188">
        <v>1</v>
      </c>
      <c r="I188">
        <v>1</v>
      </c>
      <c r="J188">
        <v>1</v>
      </c>
      <c r="K188">
        <v>1</v>
      </c>
      <c r="L188" s="2">
        <v>2016</v>
      </c>
      <c r="M188" s="2">
        <v>2018</v>
      </c>
      <c r="N188">
        <f t="shared" si="8"/>
        <v>2</v>
      </c>
      <c r="O188">
        <f t="shared" si="10"/>
        <v>0</v>
      </c>
      <c r="P188">
        <v>1</v>
      </c>
      <c r="Q188">
        <v>0</v>
      </c>
      <c r="R188">
        <v>0</v>
      </c>
      <c r="S188">
        <v>1</v>
      </c>
      <c r="T188">
        <v>0</v>
      </c>
    </row>
    <row r="189" spans="1:20">
      <c r="A189" s="3" t="s">
        <v>205</v>
      </c>
      <c r="B189">
        <v>6716</v>
      </c>
      <c r="C189">
        <v>1</v>
      </c>
      <c r="D189">
        <v>3</v>
      </c>
      <c r="E189">
        <v>1</v>
      </c>
      <c r="F189">
        <v>0</v>
      </c>
      <c r="G189">
        <v>3</v>
      </c>
      <c r="H189">
        <v>1</v>
      </c>
      <c r="I189">
        <v>0</v>
      </c>
      <c r="J189">
        <v>1</v>
      </c>
      <c r="K189">
        <v>1</v>
      </c>
      <c r="L189" s="2">
        <v>2017</v>
      </c>
      <c r="M189" s="2">
        <v>2020</v>
      </c>
      <c r="N189">
        <f t="shared" si="8"/>
        <v>3</v>
      </c>
      <c r="O189">
        <f t="shared" si="10"/>
        <v>0</v>
      </c>
      <c r="P189">
        <v>1</v>
      </c>
      <c r="Q189">
        <v>0</v>
      </c>
      <c r="R189">
        <v>0</v>
      </c>
      <c r="S189">
        <v>1</v>
      </c>
      <c r="T189">
        <v>1</v>
      </c>
    </row>
    <row r="190" spans="1:20">
      <c r="A190" s="3" t="s">
        <v>206</v>
      </c>
      <c r="B190" t="s">
        <v>20</v>
      </c>
      <c r="C190">
        <v>1</v>
      </c>
      <c r="D190">
        <v>3</v>
      </c>
      <c r="E190">
        <v>1</v>
      </c>
      <c r="F190">
        <v>0</v>
      </c>
      <c r="G190">
        <v>2</v>
      </c>
      <c r="H190">
        <v>1</v>
      </c>
      <c r="I190">
        <v>0</v>
      </c>
      <c r="J190">
        <v>1</v>
      </c>
      <c r="K190">
        <v>1</v>
      </c>
      <c r="L190" s="2">
        <v>2018</v>
      </c>
      <c r="M190" s="2">
        <v>2019</v>
      </c>
      <c r="N190">
        <f t="shared" si="8"/>
        <v>1</v>
      </c>
      <c r="O190">
        <f t="shared" si="10"/>
        <v>0</v>
      </c>
      <c r="P190">
        <v>1</v>
      </c>
      <c r="Q190">
        <v>0</v>
      </c>
      <c r="R190">
        <v>0</v>
      </c>
      <c r="S190">
        <v>1</v>
      </c>
      <c r="T190">
        <v>1</v>
      </c>
    </row>
    <row r="191" spans="1:20">
      <c r="A191" s="3" t="s">
        <v>207</v>
      </c>
      <c r="B191">
        <v>7870</v>
      </c>
      <c r="C191">
        <v>0</v>
      </c>
      <c r="D191">
        <v>1</v>
      </c>
      <c r="E191">
        <v>0</v>
      </c>
      <c r="F191">
        <v>0</v>
      </c>
      <c r="G191">
        <v>3</v>
      </c>
      <c r="H191">
        <v>1</v>
      </c>
      <c r="I191">
        <v>1</v>
      </c>
      <c r="J191">
        <v>1</v>
      </c>
      <c r="K191">
        <v>1</v>
      </c>
      <c r="L191" s="2">
        <v>2020</v>
      </c>
      <c r="M191" s="2">
        <v>2021</v>
      </c>
      <c r="N191">
        <f t="shared" si="8"/>
        <v>1</v>
      </c>
      <c r="O191">
        <f t="shared" si="10"/>
        <v>0</v>
      </c>
      <c r="P191">
        <v>1</v>
      </c>
      <c r="Q191">
        <v>0</v>
      </c>
      <c r="R191">
        <v>0</v>
      </c>
      <c r="S191">
        <v>1</v>
      </c>
      <c r="T191">
        <v>0</v>
      </c>
    </row>
    <row r="192" spans="1:20">
      <c r="A192" s="3" t="s">
        <v>208</v>
      </c>
      <c r="B192">
        <v>7332</v>
      </c>
      <c r="C192">
        <v>1</v>
      </c>
      <c r="D192">
        <v>3</v>
      </c>
      <c r="E192">
        <v>0</v>
      </c>
      <c r="F192">
        <v>0</v>
      </c>
      <c r="G192">
        <v>2</v>
      </c>
      <c r="H192">
        <v>1</v>
      </c>
      <c r="I192">
        <v>1</v>
      </c>
      <c r="J192">
        <v>1</v>
      </c>
      <c r="K192">
        <v>1</v>
      </c>
      <c r="L192" s="2">
        <v>2018</v>
      </c>
      <c r="M192" s="2">
        <v>2021</v>
      </c>
      <c r="N192">
        <f t="shared" si="8"/>
        <v>3</v>
      </c>
      <c r="O192">
        <f t="shared" si="10"/>
        <v>0</v>
      </c>
      <c r="P192">
        <v>1</v>
      </c>
      <c r="Q192">
        <v>0</v>
      </c>
      <c r="R192">
        <v>0</v>
      </c>
      <c r="S192">
        <v>1</v>
      </c>
      <c r="T192">
        <v>0</v>
      </c>
    </row>
    <row r="193" spans="1:20">
      <c r="A193" s="3" t="s">
        <v>209</v>
      </c>
      <c r="B193">
        <v>4201</v>
      </c>
      <c r="C193">
        <v>1</v>
      </c>
      <c r="D193">
        <v>1</v>
      </c>
      <c r="E193">
        <v>0</v>
      </c>
      <c r="F193">
        <v>0</v>
      </c>
      <c r="G193">
        <v>1</v>
      </c>
      <c r="H193">
        <v>1</v>
      </c>
      <c r="I193">
        <v>0</v>
      </c>
      <c r="J193">
        <v>1</v>
      </c>
      <c r="K193">
        <v>1</v>
      </c>
      <c r="L193" s="2">
        <v>2013</v>
      </c>
      <c r="M193" s="2">
        <v>2024</v>
      </c>
      <c r="N193">
        <f t="shared" si="8"/>
        <v>11</v>
      </c>
      <c r="O193">
        <f t="shared" si="10"/>
        <v>1</v>
      </c>
      <c r="P193">
        <v>1</v>
      </c>
      <c r="Q193">
        <v>0</v>
      </c>
      <c r="R193">
        <v>1</v>
      </c>
      <c r="S193">
        <v>1</v>
      </c>
      <c r="T193">
        <v>0</v>
      </c>
    </row>
    <row r="194" spans="1:20">
      <c r="A194" s="3" t="s">
        <v>210</v>
      </c>
      <c r="B194">
        <v>533</v>
      </c>
      <c r="C194">
        <v>1</v>
      </c>
      <c r="D194">
        <v>1</v>
      </c>
      <c r="E194">
        <v>0</v>
      </c>
      <c r="F194">
        <v>0</v>
      </c>
      <c r="G194">
        <v>3</v>
      </c>
      <c r="H194">
        <v>1</v>
      </c>
      <c r="I194">
        <v>0</v>
      </c>
      <c r="J194">
        <v>1</v>
      </c>
      <c r="K194">
        <v>1</v>
      </c>
      <c r="L194" s="2">
        <v>1997</v>
      </c>
      <c r="M194" s="2">
        <v>1999</v>
      </c>
      <c r="N194">
        <f t="shared" si="8"/>
        <v>2</v>
      </c>
      <c r="O194">
        <f t="shared" si="10"/>
        <v>0</v>
      </c>
      <c r="P194">
        <v>1</v>
      </c>
      <c r="Q194">
        <v>0</v>
      </c>
      <c r="R194">
        <v>1</v>
      </c>
      <c r="S194">
        <v>1</v>
      </c>
      <c r="T194">
        <v>0</v>
      </c>
    </row>
    <row r="195" spans="1:20">
      <c r="A195" s="3" t="s">
        <v>211</v>
      </c>
      <c r="B195">
        <v>269</v>
      </c>
      <c r="C195">
        <v>1</v>
      </c>
      <c r="D195">
        <v>4</v>
      </c>
      <c r="E195">
        <v>1</v>
      </c>
      <c r="G195">
        <v>1</v>
      </c>
      <c r="H195">
        <v>0</v>
      </c>
      <c r="I195" t="s">
        <v>20</v>
      </c>
      <c r="J195" t="s">
        <v>20</v>
      </c>
      <c r="K195" t="s">
        <v>20</v>
      </c>
      <c r="L195" s="2">
        <v>1979</v>
      </c>
      <c r="M195" s="2">
        <v>1982</v>
      </c>
      <c r="N195">
        <f t="shared" si="8"/>
        <v>3</v>
      </c>
      <c r="O195">
        <f t="shared" si="10"/>
        <v>0</v>
      </c>
      <c r="P195">
        <v>1</v>
      </c>
      <c r="Q195">
        <v>0</v>
      </c>
      <c r="R195">
        <v>0</v>
      </c>
      <c r="S195">
        <v>3</v>
      </c>
      <c r="T195">
        <v>1</v>
      </c>
    </row>
    <row r="196" spans="1:20">
      <c r="A196" s="3" t="s">
        <v>212</v>
      </c>
      <c r="B196">
        <v>554</v>
      </c>
      <c r="C196">
        <v>1</v>
      </c>
      <c r="D196">
        <v>1</v>
      </c>
      <c r="E196">
        <v>0</v>
      </c>
      <c r="F196">
        <v>0</v>
      </c>
      <c r="G196">
        <v>4</v>
      </c>
      <c r="H196">
        <v>1</v>
      </c>
      <c r="I196" t="s">
        <v>20</v>
      </c>
      <c r="J196">
        <v>1</v>
      </c>
      <c r="K196">
        <v>1</v>
      </c>
      <c r="L196" s="2">
        <v>2006</v>
      </c>
      <c r="M196" s="2">
        <v>2013</v>
      </c>
      <c r="N196">
        <f t="shared" si="8"/>
        <v>7</v>
      </c>
      <c r="O196">
        <f t="shared" si="10"/>
        <v>0</v>
      </c>
      <c r="P196">
        <v>1</v>
      </c>
      <c r="Q196" t="s">
        <v>20</v>
      </c>
      <c r="R196" t="s">
        <v>20</v>
      </c>
      <c r="S196">
        <v>1</v>
      </c>
      <c r="T196">
        <v>0</v>
      </c>
    </row>
    <row r="197" spans="1:20">
      <c r="A197" s="5"/>
    </row>
    <row r="198" spans="1:20">
      <c r="A198" s="5"/>
    </row>
  </sheetData>
  <hyperlinks>
    <hyperlink ref="A177" r:id="rId1" xr:uid="{00000000-0004-0000-0000-000000000000}"/>
  </hyperlink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Precious Ibok</dc:creator>
  <cp:lastModifiedBy>Precious Ibok</cp:lastModifiedBy>
  <dcterms:created xsi:type="dcterms:W3CDTF">2025-07-28T17:12:00Z</dcterms:created>
  <dcterms:modified xsi:type="dcterms:W3CDTF">2025-11-25T06:53:52Z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5A572A4B5A064AB5BCC0BC3029416A01_12</vt:lpwstr>
  </property>
  <property fmtid="{D5CDD505-2E9C-101B-9397-08002B2CF9AE}" pid="3" name="KSOProductBuildVer">
    <vt:lpwstr>1033-12.2.0.23155</vt:lpwstr>
  </property>
</Properties>
</file>